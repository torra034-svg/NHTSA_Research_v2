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a034\Documents\githubb\NHTSA_Research_v2\"/>
    </mc:Choice>
  </mc:AlternateContent>
  <xr:revisionPtr revIDLastSave="0" documentId="13_ncr:1_{A49CC223-505F-45D9-98F6-6F900BD0DE69}" xr6:coauthVersionLast="47" xr6:coauthVersionMax="47" xr10:uidLastSave="{00000000-0000-0000-0000-000000000000}"/>
  <bookViews>
    <workbookView xWindow="28680" yWindow="-120" windowWidth="29040" windowHeight="15720" activeTab="1" xr2:uid="{FACB296B-8AC4-4D09-B580-086A78C3F6BA}"/>
  </bookViews>
  <sheets>
    <sheet name="AUX" sheetId="1" r:id="rId1"/>
    <sheet name="Nat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2" i="2"/>
  <c r="F3" i="2"/>
  <c r="L3" i="2" s="1"/>
  <c r="F4" i="2"/>
  <c r="L4" i="2" s="1"/>
  <c r="F5" i="2"/>
  <c r="L5" i="2" s="1"/>
  <c r="F6" i="2"/>
  <c r="L6" i="2" s="1"/>
  <c r="F7" i="2"/>
  <c r="L7" i="2" s="1"/>
  <c r="F8" i="2"/>
  <c r="L8" i="2" s="1"/>
  <c r="F9" i="2"/>
  <c r="L9" i="2" s="1"/>
  <c r="F11" i="2"/>
  <c r="L11" i="2" s="1"/>
  <c r="F12" i="2"/>
  <c r="L12" i="2" s="1"/>
  <c r="F19" i="2"/>
  <c r="L19" i="2" s="1"/>
  <c r="F20" i="2"/>
  <c r="L20" i="2" s="1"/>
  <c r="F21" i="2"/>
  <c r="L21" i="2" s="1"/>
  <c r="F22" i="2"/>
  <c r="L22" i="2" s="1"/>
  <c r="F23" i="2"/>
  <c r="L23" i="2" s="1"/>
  <c r="F24" i="2"/>
  <c r="L24" i="2" s="1"/>
  <c r="F25" i="2"/>
  <c r="L25" i="2" s="1"/>
  <c r="F26" i="2"/>
  <c r="L26" i="2" s="1"/>
  <c r="F36" i="2"/>
  <c r="L36" i="2" s="1"/>
  <c r="F37" i="2"/>
  <c r="L37" i="2" s="1"/>
  <c r="F38" i="2"/>
  <c r="L38" i="2" s="1"/>
  <c r="F39" i="2"/>
  <c r="L39" i="2" s="1"/>
  <c r="F40" i="2"/>
  <c r="L40" i="2" s="1"/>
  <c r="F41" i="2"/>
  <c r="L41" i="2" s="1"/>
  <c r="F42" i="2"/>
  <c r="L42" i="2" s="1"/>
  <c r="F43" i="2"/>
  <c r="L43" i="2" s="1"/>
  <c r="F2" i="2"/>
  <c r="L2" i="2" s="1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36" i="2"/>
  <c r="D20" i="2"/>
  <c r="D21" i="2"/>
  <c r="D22" i="2"/>
  <c r="D23" i="2"/>
  <c r="D24" i="2"/>
  <c r="D25" i="2"/>
  <c r="D26" i="2"/>
  <c r="D27" i="2"/>
  <c r="D28" i="2"/>
  <c r="D29" i="2"/>
  <c r="D30" i="2"/>
  <c r="D31" i="2"/>
  <c r="F31" i="2" s="1"/>
  <c r="L31" i="2" s="1"/>
  <c r="D32" i="2"/>
  <c r="D33" i="2"/>
  <c r="D34" i="2"/>
  <c r="D35" i="2"/>
  <c r="D19" i="2"/>
  <c r="D3" i="2"/>
  <c r="D4" i="2"/>
  <c r="D5" i="2"/>
  <c r="D6" i="2"/>
  <c r="D7" i="2"/>
  <c r="D8" i="2"/>
  <c r="D9" i="2"/>
  <c r="D10" i="2"/>
  <c r="D11" i="2"/>
  <c r="D12" i="2"/>
  <c r="D13" i="2"/>
  <c r="D14" i="2"/>
  <c r="F14" i="2" s="1"/>
  <c r="L14" i="2" s="1"/>
  <c r="D15" i="2"/>
  <c r="D16" i="2"/>
  <c r="D17" i="2"/>
  <c r="D18" i="2"/>
  <c r="D2" i="2"/>
  <c r="C20" i="2"/>
  <c r="C21" i="2"/>
  <c r="C22" i="2"/>
  <c r="C23" i="2"/>
  <c r="C24" i="2"/>
  <c r="C25" i="2"/>
  <c r="C26" i="2"/>
  <c r="C27" i="2"/>
  <c r="C28" i="2"/>
  <c r="F28" i="2" s="1"/>
  <c r="L28" i="2" s="1"/>
  <c r="C29" i="2"/>
  <c r="F29" i="2" s="1"/>
  <c r="L29" i="2" s="1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1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2" i="2"/>
  <c r="H2" i="1"/>
  <c r="G36" i="1"/>
  <c r="H36" i="1" s="1"/>
  <c r="G37" i="1"/>
  <c r="H37" i="1"/>
  <c r="G38" i="1"/>
  <c r="H38" i="1"/>
  <c r="G39" i="1"/>
  <c r="H39" i="1"/>
  <c r="G40" i="1"/>
  <c r="H40" i="1"/>
  <c r="G41" i="1"/>
  <c r="H41" i="1" s="1"/>
  <c r="G42" i="1"/>
  <c r="H42" i="1" s="1"/>
  <c r="G43" i="1"/>
  <c r="H43" i="1" s="1"/>
  <c r="G44" i="1"/>
  <c r="H44" i="1" s="1"/>
  <c r="G45" i="1"/>
  <c r="H45" i="1"/>
  <c r="G46" i="1"/>
  <c r="H46" i="1"/>
  <c r="G47" i="1"/>
  <c r="H47" i="1"/>
  <c r="G48" i="1"/>
  <c r="H48" i="1" s="1"/>
  <c r="G49" i="1"/>
  <c r="H49" i="1"/>
  <c r="G50" i="1"/>
  <c r="H50" i="1"/>
  <c r="G51" i="1"/>
  <c r="H51" i="1"/>
  <c r="G52" i="1"/>
  <c r="H52" i="1" s="1"/>
  <c r="G19" i="1"/>
  <c r="H19" i="1" s="1"/>
  <c r="G20" i="1"/>
  <c r="H20" i="1" s="1"/>
  <c r="G21" i="1"/>
  <c r="H21" i="1"/>
  <c r="G22" i="1"/>
  <c r="H22" i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/>
  <c r="G29" i="1"/>
  <c r="H29" i="1"/>
  <c r="G30" i="1"/>
  <c r="H30" i="1" s="1"/>
  <c r="G31" i="1"/>
  <c r="H31" i="1" s="1"/>
  <c r="G32" i="1"/>
  <c r="H32" i="1" s="1"/>
  <c r="G33" i="1"/>
  <c r="H33" i="1"/>
  <c r="G34" i="1"/>
  <c r="H34" i="1"/>
  <c r="G35" i="1"/>
  <c r="H35" i="1"/>
  <c r="G3" i="1"/>
  <c r="H3" i="1" s="1"/>
  <c r="G4" i="1"/>
  <c r="G5" i="1"/>
  <c r="G6" i="1"/>
  <c r="H6" i="1" s="1"/>
  <c r="G7" i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G18" i="1"/>
  <c r="G2" i="1"/>
  <c r="H4" i="1"/>
  <c r="H5" i="1"/>
  <c r="H17" i="1"/>
  <c r="H18" i="1"/>
  <c r="H7" i="1"/>
  <c r="M3" i="2" l="1"/>
  <c r="M4" i="2"/>
  <c r="M5" i="2"/>
  <c r="M6" i="2"/>
  <c r="M7" i="2"/>
  <c r="M8" i="2"/>
  <c r="M9" i="2"/>
  <c r="M11" i="2"/>
  <c r="M12" i="2"/>
  <c r="M19" i="2"/>
  <c r="M20" i="2"/>
  <c r="M21" i="2"/>
  <c r="M22" i="2"/>
  <c r="M23" i="2"/>
  <c r="M24" i="2"/>
  <c r="M25" i="2"/>
  <c r="M26" i="2"/>
  <c r="M36" i="2"/>
  <c r="M37" i="2"/>
  <c r="M38" i="2"/>
  <c r="M39" i="2"/>
  <c r="M40" i="2"/>
  <c r="M41" i="2"/>
  <c r="M42" i="2"/>
  <c r="M43" i="2"/>
  <c r="M2" i="2"/>
  <c r="M31" i="2"/>
  <c r="M14" i="2"/>
  <c r="M28" i="2"/>
  <c r="M29" i="2"/>
  <c r="F48" i="2"/>
  <c r="L48" i="2" s="1"/>
  <c r="F45" i="2"/>
  <c r="L45" i="2" s="1"/>
  <c r="F46" i="2"/>
  <c r="L46" i="2" s="1"/>
  <c r="F10" i="2"/>
  <c r="L10" i="2" s="1"/>
  <c r="F13" i="2"/>
  <c r="L13" i="2" s="1"/>
  <c r="F15" i="2"/>
  <c r="L15" i="2" s="1"/>
  <c r="F16" i="2"/>
  <c r="L16" i="2" s="1"/>
  <c r="F17" i="2"/>
  <c r="L17" i="2" s="1"/>
  <c r="F18" i="2"/>
  <c r="L18" i="2" s="1"/>
  <c r="F27" i="2"/>
  <c r="L27" i="2" s="1"/>
  <c r="F30" i="2"/>
  <c r="L30" i="2" s="1"/>
  <c r="F32" i="2"/>
  <c r="L32" i="2" s="1"/>
  <c r="F33" i="2"/>
  <c r="L33" i="2" s="1"/>
  <c r="F34" i="2"/>
  <c r="L34" i="2" s="1"/>
  <c r="F35" i="2"/>
  <c r="L35" i="2" s="1"/>
  <c r="F44" i="2"/>
  <c r="L44" i="2" s="1"/>
  <c r="F47" i="2"/>
  <c r="L47" i="2" s="1"/>
  <c r="F49" i="2"/>
  <c r="L49" i="2" s="1"/>
  <c r="F50" i="2"/>
  <c r="L50" i="2" s="1"/>
  <c r="F51" i="2"/>
  <c r="L51" i="2" s="1"/>
  <c r="F52" i="2"/>
  <c r="L52" i="2" s="1"/>
  <c r="M48" i="2" l="1"/>
  <c r="M45" i="2"/>
  <c r="M46" i="2"/>
  <c r="M10" i="2"/>
  <c r="M13" i="2"/>
  <c r="M15" i="2"/>
  <c r="M16" i="2"/>
  <c r="M17" i="2"/>
  <c r="M18" i="2"/>
  <c r="M27" i="2"/>
  <c r="M30" i="2"/>
  <c r="M32" i="2"/>
  <c r="M33" i="2"/>
  <c r="M34" i="2"/>
  <c r="M35" i="2"/>
  <c r="M44" i="2"/>
  <c r="M47" i="2"/>
  <c r="M49" i="2"/>
  <c r="M50" i="2"/>
  <c r="M51" i="2"/>
  <c r="M52" i="2"/>
</calcChain>
</file>

<file path=xl/sharedStrings.xml><?xml version="1.0" encoding="utf-8"?>
<sst xmlns="http://schemas.openxmlformats.org/spreadsheetml/2006/main" count="553" uniqueCount="36">
  <si>
    <t>Year</t>
  </si>
  <si>
    <t>ACC</t>
  </si>
  <si>
    <t>PER</t>
  </si>
  <si>
    <t>Data Type</t>
  </si>
  <si>
    <t>File Path Finish</t>
  </si>
  <si>
    <t>Raw Data/2007/FARS2007NationalAuxiliaryCSV/ACC_AUX.CSV</t>
  </si>
  <si>
    <t>File Path AUX1 Template</t>
  </si>
  <si>
    <t>Raw Data/</t>
  </si>
  <si>
    <t>Source of Truth</t>
  </si>
  <si>
    <t>File Path AUX2 Template</t>
  </si>
  <si>
    <t>File Path AUX3 Template</t>
  </si>
  <si>
    <t>/FARS</t>
  </si>
  <si>
    <t>_AUX.CSV</t>
  </si>
  <si>
    <t>File Path AUX4 Template</t>
  </si>
  <si>
    <t>NationalAuxiliaryCSV/</t>
  </si>
  <si>
    <t>Import code</t>
  </si>
  <si>
    <t>VEH</t>
  </si>
  <si>
    <t>ACCIDENT</t>
  </si>
  <si>
    <t>File Path National1 Template</t>
  </si>
  <si>
    <t>File Path National2 Template</t>
  </si>
  <si>
    <t>File Path National3 Template</t>
  </si>
  <si>
    <t>File Path National4 Template</t>
  </si>
  <si>
    <t>NationalCSV</t>
  </si>
  <si>
    <t>C:\Users\torra034\Documents\githubb\NHTSA-Research-Redo\Raw Data\2007\FARS2007NationalCSV\FARS2007NationalCSV\ACCIDENT.CSV</t>
  </si>
  <si>
    <t>PERSON</t>
  </si>
  <si>
    <t>VEHICLE</t>
  </si>
  <si>
    <t>/</t>
  </si>
  <si>
    <t>C:\Users\torra034\Documents\githubb\NHTSA_Research_v2\Raw Data\2015\FARS2015NationalCSV\accident.csv</t>
  </si>
  <si>
    <t>accident</t>
  </si>
  <si>
    <t>Data Type 2007-2014</t>
  </si>
  <si>
    <t>Data Type 2015, 2018, 2020-2023</t>
  </si>
  <si>
    <t>Data Type 2016-2017</t>
  </si>
  <si>
    <t>Data Type 2019</t>
  </si>
  <si>
    <t>Data Type Correct</t>
  </si>
  <si>
    <t>File Path Complete</t>
  </si>
  <si>
    <t>.CSV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</si>
</sst>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5556-CFF9-48ED-A785-AB09CC7A01C6}">
  <dimension ref="A1:O52"/>
  <sheetViews>
    <sheetView workbookViewId="0">
      <selection activeCell="H2" sqref="H2"/>
    </sheetView>
  </sheetViews>
  <sheetFormatPr defaultRowHeight="15" x14ac:dyDescent="0.25"/>
  <cols>
    <col min="3" max="5" width="22.5703125" bestFit="1" customWidth="1"/>
    <col min="6" max="6" width="22.5703125" customWidth="1"/>
    <col min="7" max="7" width="54.5703125" customWidth="1"/>
    <col min="8" max="8" width="22.5703125" bestFit="1" customWidth="1"/>
    <col min="15" max="15" width="55.5703125" bestFit="1" customWidth="1"/>
    <col min="17" max="17" width="22.5703125" bestFit="1" customWidth="1"/>
  </cols>
  <sheetData>
    <row r="1" spans="1:15" x14ac:dyDescent="0.25">
      <c r="A1" t="s">
        <v>3</v>
      </c>
      <c r="B1" t="s">
        <v>0</v>
      </c>
      <c r="C1" t="s">
        <v>6</v>
      </c>
      <c r="D1" t="s">
        <v>9</v>
      </c>
      <c r="E1" t="s">
        <v>10</v>
      </c>
      <c r="F1" t="s">
        <v>13</v>
      </c>
      <c r="G1" t="s">
        <v>4</v>
      </c>
      <c r="H1" t="s">
        <v>15</v>
      </c>
      <c r="O1" t="s">
        <v>8</v>
      </c>
    </row>
    <row r="2" spans="1:15" x14ac:dyDescent="0.25">
      <c r="A2" t="s">
        <v>1</v>
      </c>
      <c r="B2" s="1">
        <v>2007</v>
      </c>
      <c r="C2" t="s">
        <v>7</v>
      </c>
      <c r="D2" t="s">
        <v>11</v>
      </c>
      <c r="E2" t="s">
        <v>14</v>
      </c>
      <c r="F2" t="s">
        <v>12</v>
      </c>
      <c r="G2" t="str">
        <f>_xlfn.CONCAT(C2,B2,D2,B2,E2,A2,F2)</f>
        <v>Raw Data/2007/FARS2007NationalAuxiliaryCSV/ACC_AUX.CSV</v>
      </c>
      <c r="H2" t="str">
        <f t="shared" ref="H2:H18" si="0">CONCATENATE(LOWER(A2),B2," &lt;- ","read.csv(",G2,")")</f>
        <v>acc2007 &lt;- read.csv(Raw Data/2007/FARS2007NationalAuxiliaryCSV/ACC_AUX.CSV)</v>
      </c>
      <c r="O2" t="s">
        <v>5</v>
      </c>
    </row>
    <row r="3" spans="1:15" x14ac:dyDescent="0.25">
      <c r="A3" t="s">
        <v>1</v>
      </c>
      <c r="B3">
        <v>2008</v>
      </c>
      <c r="C3" t="s">
        <v>7</v>
      </c>
      <c r="D3" t="s">
        <v>11</v>
      </c>
      <c r="E3" t="s">
        <v>14</v>
      </c>
      <c r="F3" t="s">
        <v>12</v>
      </c>
      <c r="G3" t="str">
        <f t="shared" ref="G3:G18" si="1">_xlfn.CONCAT(C3,B3,D3,B3,E3,A3,F3)</f>
        <v>Raw Data/2008/FARS2008NationalAuxiliaryCSV/ACC_AUX.CSV</v>
      </c>
      <c r="H3" t="str">
        <f t="shared" si="0"/>
        <v>acc2008 &lt;- read.csv(Raw Data/2008/FARS2008NationalAuxiliaryCSV/ACC_AUX.CSV)</v>
      </c>
    </row>
    <row r="4" spans="1:15" x14ac:dyDescent="0.25">
      <c r="A4" t="s">
        <v>1</v>
      </c>
      <c r="B4" s="1">
        <v>2009</v>
      </c>
      <c r="C4" t="s">
        <v>7</v>
      </c>
      <c r="D4" t="s">
        <v>11</v>
      </c>
      <c r="E4" t="s">
        <v>14</v>
      </c>
      <c r="F4" t="s">
        <v>12</v>
      </c>
      <c r="G4" t="str">
        <f t="shared" si="1"/>
        <v>Raw Data/2009/FARS2009NationalAuxiliaryCSV/ACC_AUX.CSV</v>
      </c>
      <c r="H4" t="str">
        <f t="shared" si="0"/>
        <v>acc2009 &lt;- read.csv(Raw Data/2009/FARS2009NationalAuxiliaryCSV/ACC_AUX.CSV)</v>
      </c>
    </row>
    <row r="5" spans="1:15" x14ac:dyDescent="0.25">
      <c r="A5" t="s">
        <v>1</v>
      </c>
      <c r="B5">
        <v>2010</v>
      </c>
      <c r="C5" t="s">
        <v>7</v>
      </c>
      <c r="D5" t="s">
        <v>11</v>
      </c>
      <c r="E5" t="s">
        <v>14</v>
      </c>
      <c r="F5" t="s">
        <v>12</v>
      </c>
      <c r="G5" t="str">
        <f t="shared" si="1"/>
        <v>Raw Data/2010/FARS2010NationalAuxiliaryCSV/ACC_AUX.CSV</v>
      </c>
      <c r="H5" t="str">
        <f t="shared" si="0"/>
        <v>acc2010 &lt;- read.csv(Raw Data/2010/FARS2010NationalAuxiliaryCSV/ACC_AUX.CSV)</v>
      </c>
    </row>
    <row r="6" spans="1:15" x14ac:dyDescent="0.25">
      <c r="A6" t="s">
        <v>1</v>
      </c>
      <c r="B6" s="1">
        <v>2011</v>
      </c>
      <c r="C6" t="s">
        <v>7</v>
      </c>
      <c r="D6" t="s">
        <v>11</v>
      </c>
      <c r="E6" t="s">
        <v>14</v>
      </c>
      <c r="F6" t="s">
        <v>12</v>
      </c>
      <c r="G6" t="str">
        <f t="shared" si="1"/>
        <v>Raw Data/2011/FARS2011NationalAuxiliaryCSV/ACC_AUX.CSV</v>
      </c>
      <c r="H6" t="str">
        <f t="shared" si="0"/>
        <v>acc2011 &lt;- read.csv(Raw Data/2011/FARS2011NationalAuxiliaryCSV/ACC_AUX.CSV)</v>
      </c>
    </row>
    <row r="7" spans="1:15" x14ac:dyDescent="0.25">
      <c r="A7" t="s">
        <v>1</v>
      </c>
      <c r="B7">
        <v>2012</v>
      </c>
      <c r="C7" t="s">
        <v>7</v>
      </c>
      <c r="D7" t="s">
        <v>11</v>
      </c>
      <c r="E7" t="s">
        <v>14</v>
      </c>
      <c r="F7" t="s">
        <v>12</v>
      </c>
      <c r="G7" t="str">
        <f t="shared" si="1"/>
        <v>Raw Data/2012/FARS2012NationalAuxiliaryCSV/ACC_AUX.CSV</v>
      </c>
      <c r="H7" t="str">
        <f t="shared" si="0"/>
        <v>acc2012 &lt;- read.csv(Raw Data/2012/FARS2012NationalAuxiliaryCSV/ACC_AUX.CSV)</v>
      </c>
    </row>
    <row r="8" spans="1:15" x14ac:dyDescent="0.25">
      <c r="A8" t="s">
        <v>1</v>
      </c>
      <c r="B8" s="1">
        <v>2013</v>
      </c>
      <c r="C8" t="s">
        <v>7</v>
      </c>
      <c r="D8" t="s">
        <v>11</v>
      </c>
      <c r="E8" t="s">
        <v>14</v>
      </c>
      <c r="F8" t="s">
        <v>12</v>
      </c>
      <c r="G8" t="str">
        <f t="shared" si="1"/>
        <v>Raw Data/2013/FARS2013NationalAuxiliaryCSV/ACC_AUX.CSV</v>
      </c>
      <c r="H8" t="str">
        <f t="shared" si="0"/>
        <v>acc2013 &lt;- read.csv(Raw Data/2013/FARS2013NationalAuxiliaryCSV/ACC_AUX.CSV)</v>
      </c>
    </row>
    <row r="9" spans="1:15" x14ac:dyDescent="0.25">
      <c r="A9" t="s">
        <v>1</v>
      </c>
      <c r="B9">
        <v>2014</v>
      </c>
      <c r="C9" t="s">
        <v>7</v>
      </c>
      <c r="D9" t="s">
        <v>11</v>
      </c>
      <c r="E9" t="s">
        <v>14</v>
      </c>
      <c r="F9" t="s">
        <v>12</v>
      </c>
      <c r="G9" t="str">
        <f t="shared" si="1"/>
        <v>Raw Data/2014/FARS2014NationalAuxiliaryCSV/ACC_AUX.CSV</v>
      </c>
      <c r="H9" t="str">
        <f t="shared" si="0"/>
        <v>acc2014 &lt;- read.csv(Raw Data/2014/FARS2014NationalAuxiliaryCSV/ACC_AUX.CSV)</v>
      </c>
    </row>
    <row r="10" spans="1:15" x14ac:dyDescent="0.25">
      <c r="A10" t="s">
        <v>1</v>
      </c>
      <c r="B10" s="1">
        <v>2015</v>
      </c>
      <c r="C10" t="s">
        <v>7</v>
      </c>
      <c r="D10" t="s">
        <v>11</v>
      </c>
      <c r="E10" t="s">
        <v>14</v>
      </c>
      <c r="F10" t="s">
        <v>12</v>
      </c>
      <c r="G10" t="str">
        <f t="shared" si="1"/>
        <v>Raw Data/2015/FARS2015NationalAuxiliaryCSV/ACC_AUX.CSV</v>
      </c>
      <c r="H10" t="str">
        <f t="shared" si="0"/>
        <v>acc2015 &lt;- read.csv(Raw Data/2015/FARS2015NationalAuxiliaryCSV/ACC_AUX.CSV)</v>
      </c>
    </row>
    <row r="11" spans="1:15" x14ac:dyDescent="0.25">
      <c r="A11" t="s">
        <v>1</v>
      </c>
      <c r="B11">
        <v>2016</v>
      </c>
      <c r="C11" t="s">
        <v>7</v>
      </c>
      <c r="D11" t="s">
        <v>11</v>
      </c>
      <c r="E11" t="s">
        <v>14</v>
      </c>
      <c r="F11" t="s">
        <v>12</v>
      </c>
      <c r="G11" t="str">
        <f t="shared" si="1"/>
        <v>Raw Data/2016/FARS2016NationalAuxiliaryCSV/ACC_AUX.CSV</v>
      </c>
      <c r="H11" t="str">
        <f t="shared" si="0"/>
        <v>acc2016 &lt;- read.csv(Raw Data/2016/FARS2016NationalAuxiliaryCSV/ACC_AUX.CSV)</v>
      </c>
    </row>
    <row r="12" spans="1:15" x14ac:dyDescent="0.25">
      <c r="A12" t="s">
        <v>1</v>
      </c>
      <c r="B12" s="1">
        <v>2017</v>
      </c>
      <c r="C12" t="s">
        <v>7</v>
      </c>
      <c r="D12" t="s">
        <v>11</v>
      </c>
      <c r="E12" t="s">
        <v>14</v>
      </c>
      <c r="F12" t="s">
        <v>12</v>
      </c>
      <c r="G12" t="str">
        <f t="shared" si="1"/>
        <v>Raw Data/2017/FARS2017NationalAuxiliaryCSV/ACC_AUX.CSV</v>
      </c>
      <c r="H12" t="str">
        <f t="shared" si="0"/>
        <v>acc2017 &lt;- read.csv(Raw Data/2017/FARS2017NationalAuxiliaryCSV/ACC_AUX.CSV)</v>
      </c>
    </row>
    <row r="13" spans="1:15" x14ac:dyDescent="0.25">
      <c r="A13" t="s">
        <v>1</v>
      </c>
      <c r="B13">
        <v>2018</v>
      </c>
      <c r="C13" t="s">
        <v>7</v>
      </c>
      <c r="D13" t="s">
        <v>11</v>
      </c>
      <c r="E13" t="s">
        <v>14</v>
      </c>
      <c r="F13" t="s">
        <v>12</v>
      </c>
      <c r="G13" t="str">
        <f t="shared" si="1"/>
        <v>Raw Data/2018/FARS2018NationalAuxiliaryCSV/ACC_AUX.CSV</v>
      </c>
      <c r="H13" t="str">
        <f t="shared" si="0"/>
        <v>acc2018 &lt;- read.csv(Raw Data/2018/FARS2018NationalAuxiliaryCSV/ACC_AUX.CSV)</v>
      </c>
    </row>
    <row r="14" spans="1:15" x14ac:dyDescent="0.25">
      <c r="A14" t="s">
        <v>1</v>
      </c>
      <c r="B14" s="1">
        <v>2019</v>
      </c>
      <c r="C14" t="s">
        <v>7</v>
      </c>
      <c r="D14" t="s">
        <v>11</v>
      </c>
      <c r="E14" t="s">
        <v>14</v>
      </c>
      <c r="F14" t="s">
        <v>12</v>
      </c>
      <c r="G14" t="str">
        <f t="shared" si="1"/>
        <v>Raw Data/2019/FARS2019NationalAuxiliaryCSV/ACC_AUX.CSV</v>
      </c>
      <c r="H14" t="str">
        <f t="shared" si="0"/>
        <v>acc2019 &lt;- read.csv(Raw Data/2019/FARS2019NationalAuxiliaryCSV/ACC_AUX.CSV)</v>
      </c>
    </row>
    <row r="15" spans="1:15" x14ac:dyDescent="0.25">
      <c r="A15" t="s">
        <v>1</v>
      </c>
      <c r="B15">
        <v>2020</v>
      </c>
      <c r="C15" t="s">
        <v>7</v>
      </c>
      <c r="D15" t="s">
        <v>11</v>
      </c>
      <c r="E15" t="s">
        <v>14</v>
      </c>
      <c r="F15" t="s">
        <v>12</v>
      </c>
      <c r="G15" t="str">
        <f t="shared" si="1"/>
        <v>Raw Data/2020/FARS2020NationalAuxiliaryCSV/ACC_AUX.CSV</v>
      </c>
      <c r="H15" t="str">
        <f t="shared" si="0"/>
        <v>acc2020 &lt;- read.csv(Raw Data/2020/FARS2020NationalAuxiliaryCSV/ACC_AUX.CSV)</v>
      </c>
    </row>
    <row r="16" spans="1:15" x14ac:dyDescent="0.25">
      <c r="A16" t="s">
        <v>1</v>
      </c>
      <c r="B16" s="1">
        <v>2021</v>
      </c>
      <c r="C16" t="s">
        <v>7</v>
      </c>
      <c r="D16" t="s">
        <v>11</v>
      </c>
      <c r="E16" t="s">
        <v>14</v>
      </c>
      <c r="F16" t="s">
        <v>12</v>
      </c>
      <c r="G16" t="str">
        <f t="shared" si="1"/>
        <v>Raw Data/2021/FARS2021NationalAuxiliaryCSV/ACC_AUX.CSV</v>
      </c>
      <c r="H16" t="str">
        <f t="shared" si="0"/>
        <v>acc2021 &lt;- read.csv(Raw Data/2021/FARS2021NationalAuxiliaryCSV/ACC_AUX.CSV)</v>
      </c>
    </row>
    <row r="17" spans="1:8" x14ac:dyDescent="0.25">
      <c r="A17" t="s">
        <v>1</v>
      </c>
      <c r="B17">
        <v>2022</v>
      </c>
      <c r="C17" t="s">
        <v>7</v>
      </c>
      <c r="D17" t="s">
        <v>11</v>
      </c>
      <c r="E17" t="s">
        <v>14</v>
      </c>
      <c r="F17" t="s">
        <v>12</v>
      </c>
      <c r="G17" t="str">
        <f t="shared" si="1"/>
        <v>Raw Data/2022/FARS2022NationalAuxiliaryCSV/ACC_AUX.CSV</v>
      </c>
      <c r="H17" t="str">
        <f t="shared" si="0"/>
        <v>acc2022 &lt;- read.csv(Raw Data/2022/FARS2022NationalAuxiliaryCSV/ACC_AUX.CSV)</v>
      </c>
    </row>
    <row r="18" spans="1:8" x14ac:dyDescent="0.25">
      <c r="A18" t="s">
        <v>1</v>
      </c>
      <c r="B18">
        <v>2023</v>
      </c>
      <c r="C18" t="s">
        <v>7</v>
      </c>
      <c r="D18" t="s">
        <v>11</v>
      </c>
      <c r="E18" t="s">
        <v>14</v>
      </c>
      <c r="F18" t="s">
        <v>12</v>
      </c>
      <c r="G18" t="str">
        <f t="shared" si="1"/>
        <v>Raw Data/2023/FARS2023NationalAuxiliaryCSV/ACC_AUX.CSV</v>
      </c>
      <c r="H18" t="str">
        <f t="shared" si="0"/>
        <v>acc2023 &lt;- read.csv(Raw Data/2023/FARS2023NationalAuxiliaryCSV/ACC_AUX.CSV)</v>
      </c>
    </row>
    <row r="19" spans="1:8" x14ac:dyDescent="0.25">
      <c r="A19" t="s">
        <v>2</v>
      </c>
      <c r="B19" s="1">
        <v>2007</v>
      </c>
      <c r="C19" t="s">
        <v>7</v>
      </c>
      <c r="D19" t="s">
        <v>11</v>
      </c>
      <c r="E19" t="s">
        <v>14</v>
      </c>
      <c r="F19" t="s">
        <v>12</v>
      </c>
      <c r="G19" t="str">
        <f t="shared" ref="G19:G35" si="2">_xlfn.CONCAT(C19,B19,D19,B19,E19,A19,F19)</f>
        <v>Raw Data/2007/FARS2007NationalAuxiliaryCSV/PER_AUX.CSV</v>
      </c>
      <c r="H19" t="str">
        <f t="shared" ref="H19:H35" si="3">CONCATENATE(LOWER(A19),B19," &lt;- ","read.csv(",G19,")")</f>
        <v>per2007 &lt;- read.csv(Raw Data/2007/FARS2007NationalAuxiliaryCSV/PER_AUX.CSV)</v>
      </c>
    </row>
    <row r="20" spans="1:8" x14ac:dyDescent="0.25">
      <c r="A20" t="s">
        <v>2</v>
      </c>
      <c r="B20">
        <v>2008</v>
      </c>
      <c r="C20" t="s">
        <v>7</v>
      </c>
      <c r="D20" t="s">
        <v>11</v>
      </c>
      <c r="E20" t="s">
        <v>14</v>
      </c>
      <c r="F20" t="s">
        <v>12</v>
      </c>
      <c r="G20" t="str">
        <f t="shared" si="2"/>
        <v>Raw Data/2008/FARS2008NationalAuxiliaryCSV/PER_AUX.CSV</v>
      </c>
      <c r="H20" t="str">
        <f t="shared" si="3"/>
        <v>per2008 &lt;- read.csv(Raw Data/2008/FARS2008NationalAuxiliaryCSV/PER_AUX.CSV)</v>
      </c>
    </row>
    <row r="21" spans="1:8" x14ac:dyDescent="0.25">
      <c r="A21" t="s">
        <v>2</v>
      </c>
      <c r="B21" s="1">
        <v>2009</v>
      </c>
      <c r="C21" t="s">
        <v>7</v>
      </c>
      <c r="D21" t="s">
        <v>11</v>
      </c>
      <c r="E21" t="s">
        <v>14</v>
      </c>
      <c r="F21" t="s">
        <v>12</v>
      </c>
      <c r="G21" t="str">
        <f t="shared" si="2"/>
        <v>Raw Data/2009/FARS2009NationalAuxiliaryCSV/PER_AUX.CSV</v>
      </c>
      <c r="H21" t="str">
        <f t="shared" si="3"/>
        <v>per2009 &lt;- read.csv(Raw Data/2009/FARS2009NationalAuxiliaryCSV/PER_AUX.CSV)</v>
      </c>
    </row>
    <row r="22" spans="1:8" x14ac:dyDescent="0.25">
      <c r="A22" t="s">
        <v>2</v>
      </c>
      <c r="B22">
        <v>2010</v>
      </c>
      <c r="C22" t="s">
        <v>7</v>
      </c>
      <c r="D22" t="s">
        <v>11</v>
      </c>
      <c r="E22" t="s">
        <v>14</v>
      </c>
      <c r="F22" t="s">
        <v>12</v>
      </c>
      <c r="G22" t="str">
        <f t="shared" si="2"/>
        <v>Raw Data/2010/FARS2010NationalAuxiliaryCSV/PER_AUX.CSV</v>
      </c>
      <c r="H22" t="str">
        <f t="shared" si="3"/>
        <v>per2010 &lt;- read.csv(Raw Data/2010/FARS2010NationalAuxiliaryCSV/PER_AUX.CSV)</v>
      </c>
    </row>
    <row r="23" spans="1:8" x14ac:dyDescent="0.25">
      <c r="A23" t="s">
        <v>2</v>
      </c>
      <c r="B23" s="1">
        <v>2011</v>
      </c>
      <c r="C23" t="s">
        <v>7</v>
      </c>
      <c r="D23" t="s">
        <v>11</v>
      </c>
      <c r="E23" t="s">
        <v>14</v>
      </c>
      <c r="F23" t="s">
        <v>12</v>
      </c>
      <c r="G23" t="str">
        <f t="shared" si="2"/>
        <v>Raw Data/2011/FARS2011NationalAuxiliaryCSV/PER_AUX.CSV</v>
      </c>
      <c r="H23" t="str">
        <f t="shared" si="3"/>
        <v>per2011 &lt;- read.csv(Raw Data/2011/FARS2011NationalAuxiliaryCSV/PER_AUX.CSV)</v>
      </c>
    </row>
    <row r="24" spans="1:8" x14ac:dyDescent="0.25">
      <c r="A24" t="s">
        <v>2</v>
      </c>
      <c r="B24">
        <v>2012</v>
      </c>
      <c r="C24" t="s">
        <v>7</v>
      </c>
      <c r="D24" t="s">
        <v>11</v>
      </c>
      <c r="E24" t="s">
        <v>14</v>
      </c>
      <c r="F24" t="s">
        <v>12</v>
      </c>
      <c r="G24" t="str">
        <f t="shared" si="2"/>
        <v>Raw Data/2012/FARS2012NationalAuxiliaryCSV/PER_AUX.CSV</v>
      </c>
      <c r="H24" t="str">
        <f t="shared" si="3"/>
        <v>per2012 &lt;- read.csv(Raw Data/2012/FARS2012NationalAuxiliaryCSV/PER_AUX.CSV)</v>
      </c>
    </row>
    <row r="25" spans="1:8" x14ac:dyDescent="0.25">
      <c r="A25" t="s">
        <v>2</v>
      </c>
      <c r="B25" s="1">
        <v>2013</v>
      </c>
      <c r="C25" t="s">
        <v>7</v>
      </c>
      <c r="D25" t="s">
        <v>11</v>
      </c>
      <c r="E25" t="s">
        <v>14</v>
      </c>
      <c r="F25" t="s">
        <v>12</v>
      </c>
      <c r="G25" t="str">
        <f t="shared" si="2"/>
        <v>Raw Data/2013/FARS2013NationalAuxiliaryCSV/PER_AUX.CSV</v>
      </c>
      <c r="H25" t="str">
        <f t="shared" si="3"/>
        <v>per2013 &lt;- read.csv(Raw Data/2013/FARS2013NationalAuxiliaryCSV/PER_AUX.CSV)</v>
      </c>
    </row>
    <row r="26" spans="1:8" x14ac:dyDescent="0.25">
      <c r="A26" t="s">
        <v>2</v>
      </c>
      <c r="B26">
        <v>2014</v>
      </c>
      <c r="C26" t="s">
        <v>7</v>
      </c>
      <c r="D26" t="s">
        <v>11</v>
      </c>
      <c r="E26" t="s">
        <v>14</v>
      </c>
      <c r="F26" t="s">
        <v>12</v>
      </c>
      <c r="G26" t="str">
        <f t="shared" si="2"/>
        <v>Raw Data/2014/FARS2014NationalAuxiliaryCSV/PER_AUX.CSV</v>
      </c>
      <c r="H26" t="str">
        <f t="shared" si="3"/>
        <v>per2014 &lt;- read.csv(Raw Data/2014/FARS2014NationalAuxiliaryCSV/PER_AUX.CSV)</v>
      </c>
    </row>
    <row r="27" spans="1:8" x14ac:dyDescent="0.25">
      <c r="A27" t="s">
        <v>2</v>
      </c>
      <c r="B27" s="1">
        <v>2015</v>
      </c>
      <c r="C27" t="s">
        <v>7</v>
      </c>
      <c r="D27" t="s">
        <v>11</v>
      </c>
      <c r="E27" t="s">
        <v>14</v>
      </c>
      <c r="F27" t="s">
        <v>12</v>
      </c>
      <c r="G27" t="str">
        <f t="shared" si="2"/>
        <v>Raw Data/2015/FARS2015NationalAuxiliaryCSV/PER_AUX.CSV</v>
      </c>
      <c r="H27" t="str">
        <f t="shared" si="3"/>
        <v>per2015 &lt;- read.csv(Raw Data/2015/FARS2015NationalAuxiliaryCSV/PER_AUX.CSV)</v>
      </c>
    </row>
    <row r="28" spans="1:8" x14ac:dyDescent="0.25">
      <c r="A28" t="s">
        <v>2</v>
      </c>
      <c r="B28">
        <v>2016</v>
      </c>
      <c r="C28" t="s">
        <v>7</v>
      </c>
      <c r="D28" t="s">
        <v>11</v>
      </c>
      <c r="E28" t="s">
        <v>14</v>
      </c>
      <c r="F28" t="s">
        <v>12</v>
      </c>
      <c r="G28" t="str">
        <f t="shared" si="2"/>
        <v>Raw Data/2016/FARS2016NationalAuxiliaryCSV/PER_AUX.CSV</v>
      </c>
      <c r="H28" t="str">
        <f t="shared" si="3"/>
        <v>per2016 &lt;- read.csv(Raw Data/2016/FARS2016NationalAuxiliaryCSV/PER_AUX.CSV)</v>
      </c>
    </row>
    <row r="29" spans="1:8" x14ac:dyDescent="0.25">
      <c r="A29" t="s">
        <v>2</v>
      </c>
      <c r="B29" s="1">
        <v>2017</v>
      </c>
      <c r="C29" t="s">
        <v>7</v>
      </c>
      <c r="D29" t="s">
        <v>11</v>
      </c>
      <c r="E29" t="s">
        <v>14</v>
      </c>
      <c r="F29" t="s">
        <v>12</v>
      </c>
      <c r="G29" t="str">
        <f t="shared" si="2"/>
        <v>Raw Data/2017/FARS2017NationalAuxiliaryCSV/PER_AUX.CSV</v>
      </c>
      <c r="H29" t="str">
        <f t="shared" si="3"/>
        <v>per2017 &lt;- read.csv(Raw Data/2017/FARS2017NationalAuxiliaryCSV/PER_AUX.CSV)</v>
      </c>
    </row>
    <row r="30" spans="1:8" x14ac:dyDescent="0.25">
      <c r="A30" t="s">
        <v>2</v>
      </c>
      <c r="B30">
        <v>2018</v>
      </c>
      <c r="C30" t="s">
        <v>7</v>
      </c>
      <c r="D30" t="s">
        <v>11</v>
      </c>
      <c r="E30" t="s">
        <v>14</v>
      </c>
      <c r="F30" t="s">
        <v>12</v>
      </c>
      <c r="G30" t="str">
        <f t="shared" si="2"/>
        <v>Raw Data/2018/FARS2018NationalAuxiliaryCSV/PER_AUX.CSV</v>
      </c>
      <c r="H30" t="str">
        <f t="shared" si="3"/>
        <v>per2018 &lt;- read.csv(Raw Data/2018/FARS2018NationalAuxiliaryCSV/PER_AUX.CSV)</v>
      </c>
    </row>
    <row r="31" spans="1:8" x14ac:dyDescent="0.25">
      <c r="A31" t="s">
        <v>2</v>
      </c>
      <c r="B31" s="1">
        <v>2019</v>
      </c>
      <c r="C31" t="s">
        <v>7</v>
      </c>
      <c r="D31" t="s">
        <v>11</v>
      </c>
      <c r="E31" t="s">
        <v>14</v>
      </c>
      <c r="F31" t="s">
        <v>12</v>
      </c>
      <c r="G31" t="str">
        <f t="shared" si="2"/>
        <v>Raw Data/2019/FARS2019NationalAuxiliaryCSV/PER_AUX.CSV</v>
      </c>
      <c r="H31" t="str">
        <f t="shared" si="3"/>
        <v>per2019 &lt;- read.csv(Raw Data/2019/FARS2019NationalAuxiliaryCSV/PER_AUX.CSV)</v>
      </c>
    </row>
    <row r="32" spans="1:8" x14ac:dyDescent="0.25">
      <c r="A32" t="s">
        <v>2</v>
      </c>
      <c r="B32">
        <v>2020</v>
      </c>
      <c r="C32" t="s">
        <v>7</v>
      </c>
      <c r="D32" t="s">
        <v>11</v>
      </c>
      <c r="E32" t="s">
        <v>14</v>
      </c>
      <c r="F32" t="s">
        <v>12</v>
      </c>
      <c r="G32" t="str">
        <f t="shared" si="2"/>
        <v>Raw Data/2020/FARS2020NationalAuxiliaryCSV/PER_AUX.CSV</v>
      </c>
      <c r="H32" t="str">
        <f t="shared" si="3"/>
        <v>per2020 &lt;- read.csv(Raw Data/2020/FARS2020NationalAuxiliaryCSV/PER_AUX.CSV)</v>
      </c>
    </row>
    <row r="33" spans="1:8" x14ac:dyDescent="0.25">
      <c r="A33" t="s">
        <v>2</v>
      </c>
      <c r="B33" s="1">
        <v>2021</v>
      </c>
      <c r="C33" t="s">
        <v>7</v>
      </c>
      <c r="D33" t="s">
        <v>11</v>
      </c>
      <c r="E33" t="s">
        <v>14</v>
      </c>
      <c r="F33" t="s">
        <v>12</v>
      </c>
      <c r="G33" t="str">
        <f t="shared" si="2"/>
        <v>Raw Data/2021/FARS2021NationalAuxiliaryCSV/PER_AUX.CSV</v>
      </c>
      <c r="H33" t="str">
        <f t="shared" si="3"/>
        <v>per2021 &lt;- read.csv(Raw Data/2021/FARS2021NationalAuxiliaryCSV/PER_AUX.CSV)</v>
      </c>
    </row>
    <row r="34" spans="1:8" x14ac:dyDescent="0.25">
      <c r="A34" t="s">
        <v>2</v>
      </c>
      <c r="B34">
        <v>2022</v>
      </c>
      <c r="C34" t="s">
        <v>7</v>
      </c>
      <c r="D34" t="s">
        <v>11</v>
      </c>
      <c r="E34" t="s">
        <v>14</v>
      </c>
      <c r="F34" t="s">
        <v>12</v>
      </c>
      <c r="G34" t="str">
        <f t="shared" si="2"/>
        <v>Raw Data/2022/FARS2022NationalAuxiliaryCSV/PER_AUX.CSV</v>
      </c>
      <c r="H34" t="str">
        <f t="shared" si="3"/>
        <v>per2022 &lt;- read.csv(Raw Data/2022/FARS2022NationalAuxiliaryCSV/PER_AUX.CSV)</v>
      </c>
    </row>
    <row r="35" spans="1:8" x14ac:dyDescent="0.25">
      <c r="A35" t="s">
        <v>2</v>
      </c>
      <c r="B35">
        <v>2023</v>
      </c>
      <c r="C35" t="s">
        <v>7</v>
      </c>
      <c r="D35" t="s">
        <v>11</v>
      </c>
      <c r="E35" t="s">
        <v>14</v>
      </c>
      <c r="F35" t="s">
        <v>12</v>
      </c>
      <c r="G35" t="str">
        <f t="shared" si="2"/>
        <v>Raw Data/2023/FARS2023NationalAuxiliaryCSV/PER_AUX.CSV</v>
      </c>
      <c r="H35" t="str">
        <f t="shared" si="3"/>
        <v>per2023 &lt;- read.csv(Raw Data/2023/FARS2023NationalAuxiliaryCSV/PER_AUX.CSV)</v>
      </c>
    </row>
    <row r="36" spans="1:8" x14ac:dyDescent="0.25">
      <c r="A36" t="s">
        <v>16</v>
      </c>
      <c r="B36" s="1">
        <v>2007</v>
      </c>
      <c r="C36" t="s">
        <v>7</v>
      </c>
      <c r="D36" t="s">
        <v>11</v>
      </c>
      <c r="E36" t="s">
        <v>14</v>
      </c>
      <c r="F36" t="s">
        <v>12</v>
      </c>
      <c r="G36" t="str">
        <f t="shared" ref="G36:G52" si="4">_xlfn.CONCAT(C36,B36,D36,B36,E36,A36,F36)</f>
        <v>Raw Data/2007/FARS2007NationalAuxiliaryCSV/VEH_AUX.CSV</v>
      </c>
      <c r="H36" t="str">
        <f t="shared" ref="H36:H52" si="5">CONCATENATE(LOWER(A36),B36," &lt;- ","read.csv(",G36,")")</f>
        <v>veh2007 &lt;- read.csv(Raw Data/2007/FARS2007NationalAuxiliaryCSV/VEH_AUX.CSV)</v>
      </c>
    </row>
    <row r="37" spans="1:8" x14ac:dyDescent="0.25">
      <c r="A37" t="s">
        <v>16</v>
      </c>
      <c r="B37">
        <v>2008</v>
      </c>
      <c r="C37" t="s">
        <v>7</v>
      </c>
      <c r="D37" t="s">
        <v>11</v>
      </c>
      <c r="E37" t="s">
        <v>14</v>
      </c>
      <c r="F37" t="s">
        <v>12</v>
      </c>
      <c r="G37" t="str">
        <f t="shared" si="4"/>
        <v>Raw Data/2008/FARS2008NationalAuxiliaryCSV/VEH_AUX.CSV</v>
      </c>
      <c r="H37" t="str">
        <f t="shared" si="5"/>
        <v>veh2008 &lt;- read.csv(Raw Data/2008/FARS2008NationalAuxiliaryCSV/VEH_AUX.CSV)</v>
      </c>
    </row>
    <row r="38" spans="1:8" x14ac:dyDescent="0.25">
      <c r="A38" t="s">
        <v>16</v>
      </c>
      <c r="B38" s="1">
        <v>2009</v>
      </c>
      <c r="C38" t="s">
        <v>7</v>
      </c>
      <c r="D38" t="s">
        <v>11</v>
      </c>
      <c r="E38" t="s">
        <v>14</v>
      </c>
      <c r="F38" t="s">
        <v>12</v>
      </c>
      <c r="G38" t="str">
        <f t="shared" si="4"/>
        <v>Raw Data/2009/FARS2009NationalAuxiliaryCSV/VEH_AUX.CSV</v>
      </c>
      <c r="H38" t="str">
        <f t="shared" si="5"/>
        <v>veh2009 &lt;- read.csv(Raw Data/2009/FARS2009NationalAuxiliaryCSV/VEH_AUX.CSV)</v>
      </c>
    </row>
    <row r="39" spans="1:8" x14ac:dyDescent="0.25">
      <c r="A39" t="s">
        <v>16</v>
      </c>
      <c r="B39">
        <v>2010</v>
      </c>
      <c r="C39" t="s">
        <v>7</v>
      </c>
      <c r="D39" t="s">
        <v>11</v>
      </c>
      <c r="E39" t="s">
        <v>14</v>
      </c>
      <c r="F39" t="s">
        <v>12</v>
      </c>
      <c r="G39" t="str">
        <f t="shared" si="4"/>
        <v>Raw Data/2010/FARS2010NationalAuxiliaryCSV/VEH_AUX.CSV</v>
      </c>
      <c r="H39" t="str">
        <f t="shared" si="5"/>
        <v>veh2010 &lt;- read.csv(Raw Data/2010/FARS2010NationalAuxiliaryCSV/VEH_AUX.CSV)</v>
      </c>
    </row>
    <row r="40" spans="1:8" x14ac:dyDescent="0.25">
      <c r="A40" t="s">
        <v>16</v>
      </c>
      <c r="B40" s="1">
        <v>2011</v>
      </c>
      <c r="C40" t="s">
        <v>7</v>
      </c>
      <c r="D40" t="s">
        <v>11</v>
      </c>
      <c r="E40" t="s">
        <v>14</v>
      </c>
      <c r="F40" t="s">
        <v>12</v>
      </c>
      <c r="G40" t="str">
        <f t="shared" si="4"/>
        <v>Raw Data/2011/FARS2011NationalAuxiliaryCSV/VEH_AUX.CSV</v>
      </c>
      <c r="H40" t="str">
        <f t="shared" si="5"/>
        <v>veh2011 &lt;- read.csv(Raw Data/2011/FARS2011NationalAuxiliaryCSV/VEH_AUX.CSV)</v>
      </c>
    </row>
    <row r="41" spans="1:8" x14ac:dyDescent="0.25">
      <c r="A41" t="s">
        <v>16</v>
      </c>
      <c r="B41">
        <v>2012</v>
      </c>
      <c r="C41" t="s">
        <v>7</v>
      </c>
      <c r="D41" t="s">
        <v>11</v>
      </c>
      <c r="E41" t="s">
        <v>14</v>
      </c>
      <c r="F41" t="s">
        <v>12</v>
      </c>
      <c r="G41" t="str">
        <f t="shared" si="4"/>
        <v>Raw Data/2012/FARS2012NationalAuxiliaryCSV/VEH_AUX.CSV</v>
      </c>
      <c r="H41" t="str">
        <f t="shared" si="5"/>
        <v>veh2012 &lt;- read.csv(Raw Data/2012/FARS2012NationalAuxiliaryCSV/VEH_AUX.CSV)</v>
      </c>
    </row>
    <row r="42" spans="1:8" x14ac:dyDescent="0.25">
      <c r="A42" t="s">
        <v>16</v>
      </c>
      <c r="B42" s="1">
        <v>2013</v>
      </c>
      <c r="C42" t="s">
        <v>7</v>
      </c>
      <c r="D42" t="s">
        <v>11</v>
      </c>
      <c r="E42" t="s">
        <v>14</v>
      </c>
      <c r="F42" t="s">
        <v>12</v>
      </c>
      <c r="G42" t="str">
        <f t="shared" si="4"/>
        <v>Raw Data/2013/FARS2013NationalAuxiliaryCSV/VEH_AUX.CSV</v>
      </c>
      <c r="H42" t="str">
        <f t="shared" si="5"/>
        <v>veh2013 &lt;- read.csv(Raw Data/2013/FARS2013NationalAuxiliaryCSV/VEH_AUX.CSV)</v>
      </c>
    </row>
    <row r="43" spans="1:8" x14ac:dyDescent="0.25">
      <c r="A43" t="s">
        <v>16</v>
      </c>
      <c r="B43">
        <v>2014</v>
      </c>
      <c r="C43" t="s">
        <v>7</v>
      </c>
      <c r="D43" t="s">
        <v>11</v>
      </c>
      <c r="E43" t="s">
        <v>14</v>
      </c>
      <c r="F43" t="s">
        <v>12</v>
      </c>
      <c r="G43" t="str">
        <f t="shared" si="4"/>
        <v>Raw Data/2014/FARS2014NationalAuxiliaryCSV/VEH_AUX.CSV</v>
      </c>
      <c r="H43" t="str">
        <f t="shared" si="5"/>
        <v>veh2014 &lt;- read.csv(Raw Data/2014/FARS2014NationalAuxiliaryCSV/VEH_AUX.CSV)</v>
      </c>
    </row>
    <row r="44" spans="1:8" x14ac:dyDescent="0.25">
      <c r="A44" t="s">
        <v>16</v>
      </c>
      <c r="B44" s="1">
        <v>2015</v>
      </c>
      <c r="C44" t="s">
        <v>7</v>
      </c>
      <c r="D44" t="s">
        <v>11</v>
      </c>
      <c r="E44" t="s">
        <v>14</v>
      </c>
      <c r="F44" t="s">
        <v>12</v>
      </c>
      <c r="G44" t="str">
        <f t="shared" si="4"/>
        <v>Raw Data/2015/FARS2015NationalAuxiliaryCSV/VEH_AUX.CSV</v>
      </c>
      <c r="H44" t="str">
        <f t="shared" si="5"/>
        <v>veh2015 &lt;- read.csv(Raw Data/2015/FARS2015NationalAuxiliaryCSV/VEH_AUX.CSV)</v>
      </c>
    </row>
    <row r="45" spans="1:8" x14ac:dyDescent="0.25">
      <c r="A45" t="s">
        <v>16</v>
      </c>
      <c r="B45">
        <v>2016</v>
      </c>
      <c r="C45" t="s">
        <v>7</v>
      </c>
      <c r="D45" t="s">
        <v>11</v>
      </c>
      <c r="E45" t="s">
        <v>14</v>
      </c>
      <c r="F45" t="s">
        <v>12</v>
      </c>
      <c r="G45" t="str">
        <f t="shared" si="4"/>
        <v>Raw Data/2016/FARS2016NationalAuxiliaryCSV/VEH_AUX.CSV</v>
      </c>
      <c r="H45" t="str">
        <f t="shared" si="5"/>
        <v>veh2016 &lt;- read.csv(Raw Data/2016/FARS2016NationalAuxiliaryCSV/VEH_AUX.CSV)</v>
      </c>
    </row>
    <row r="46" spans="1:8" x14ac:dyDescent="0.25">
      <c r="A46" t="s">
        <v>16</v>
      </c>
      <c r="B46" s="1">
        <v>2017</v>
      </c>
      <c r="C46" t="s">
        <v>7</v>
      </c>
      <c r="D46" t="s">
        <v>11</v>
      </c>
      <c r="E46" t="s">
        <v>14</v>
      </c>
      <c r="F46" t="s">
        <v>12</v>
      </c>
      <c r="G46" t="str">
        <f t="shared" si="4"/>
        <v>Raw Data/2017/FARS2017NationalAuxiliaryCSV/VEH_AUX.CSV</v>
      </c>
      <c r="H46" t="str">
        <f t="shared" si="5"/>
        <v>veh2017 &lt;- read.csv(Raw Data/2017/FARS2017NationalAuxiliaryCSV/VEH_AUX.CSV)</v>
      </c>
    </row>
    <row r="47" spans="1:8" x14ac:dyDescent="0.25">
      <c r="A47" t="s">
        <v>16</v>
      </c>
      <c r="B47">
        <v>2018</v>
      </c>
      <c r="C47" t="s">
        <v>7</v>
      </c>
      <c r="D47" t="s">
        <v>11</v>
      </c>
      <c r="E47" t="s">
        <v>14</v>
      </c>
      <c r="F47" t="s">
        <v>12</v>
      </c>
      <c r="G47" t="str">
        <f t="shared" si="4"/>
        <v>Raw Data/2018/FARS2018NationalAuxiliaryCSV/VEH_AUX.CSV</v>
      </c>
      <c r="H47" t="str">
        <f t="shared" si="5"/>
        <v>veh2018 &lt;- read.csv(Raw Data/2018/FARS2018NationalAuxiliaryCSV/VEH_AUX.CSV)</v>
      </c>
    </row>
    <row r="48" spans="1:8" x14ac:dyDescent="0.25">
      <c r="A48" t="s">
        <v>16</v>
      </c>
      <c r="B48" s="1">
        <v>2019</v>
      </c>
      <c r="C48" t="s">
        <v>7</v>
      </c>
      <c r="D48" t="s">
        <v>11</v>
      </c>
      <c r="E48" t="s">
        <v>14</v>
      </c>
      <c r="F48" t="s">
        <v>12</v>
      </c>
      <c r="G48" t="str">
        <f t="shared" si="4"/>
        <v>Raw Data/2019/FARS2019NationalAuxiliaryCSV/VEH_AUX.CSV</v>
      </c>
      <c r="H48" t="str">
        <f t="shared" si="5"/>
        <v>veh2019 &lt;- read.csv(Raw Data/2019/FARS2019NationalAuxiliaryCSV/VEH_AUX.CSV)</v>
      </c>
    </row>
    <row r="49" spans="1:8" x14ac:dyDescent="0.25">
      <c r="A49" t="s">
        <v>16</v>
      </c>
      <c r="B49">
        <v>2020</v>
      </c>
      <c r="C49" t="s">
        <v>7</v>
      </c>
      <c r="D49" t="s">
        <v>11</v>
      </c>
      <c r="E49" t="s">
        <v>14</v>
      </c>
      <c r="F49" t="s">
        <v>12</v>
      </c>
      <c r="G49" t="str">
        <f t="shared" si="4"/>
        <v>Raw Data/2020/FARS2020NationalAuxiliaryCSV/VEH_AUX.CSV</v>
      </c>
      <c r="H49" t="str">
        <f t="shared" si="5"/>
        <v>veh2020 &lt;- read.csv(Raw Data/2020/FARS2020NationalAuxiliaryCSV/VEH_AUX.CSV)</v>
      </c>
    </row>
    <row r="50" spans="1:8" x14ac:dyDescent="0.25">
      <c r="A50" t="s">
        <v>16</v>
      </c>
      <c r="B50" s="1">
        <v>2021</v>
      </c>
      <c r="C50" t="s">
        <v>7</v>
      </c>
      <c r="D50" t="s">
        <v>11</v>
      </c>
      <c r="E50" t="s">
        <v>14</v>
      </c>
      <c r="F50" t="s">
        <v>12</v>
      </c>
      <c r="G50" t="str">
        <f t="shared" si="4"/>
        <v>Raw Data/2021/FARS2021NationalAuxiliaryCSV/VEH_AUX.CSV</v>
      </c>
      <c r="H50" t="str">
        <f t="shared" si="5"/>
        <v>veh2021 &lt;- read.csv(Raw Data/2021/FARS2021NationalAuxiliaryCSV/VEH_AUX.CSV)</v>
      </c>
    </row>
    <row r="51" spans="1:8" x14ac:dyDescent="0.25">
      <c r="A51" t="s">
        <v>16</v>
      </c>
      <c r="B51">
        <v>2022</v>
      </c>
      <c r="C51" t="s">
        <v>7</v>
      </c>
      <c r="D51" t="s">
        <v>11</v>
      </c>
      <c r="E51" t="s">
        <v>14</v>
      </c>
      <c r="F51" t="s">
        <v>12</v>
      </c>
      <c r="G51" t="str">
        <f t="shared" si="4"/>
        <v>Raw Data/2022/FARS2022NationalAuxiliaryCSV/VEH_AUX.CSV</v>
      </c>
      <c r="H51" t="str">
        <f t="shared" si="5"/>
        <v>veh2022 &lt;- read.csv(Raw Data/2022/FARS2022NationalAuxiliaryCSV/VEH_AUX.CSV)</v>
      </c>
    </row>
    <row r="52" spans="1:8" x14ac:dyDescent="0.25">
      <c r="A52" t="s">
        <v>16</v>
      </c>
      <c r="B52">
        <v>2023</v>
      </c>
      <c r="C52" t="s">
        <v>7</v>
      </c>
      <c r="D52" t="s">
        <v>11</v>
      </c>
      <c r="E52" t="s">
        <v>14</v>
      </c>
      <c r="F52" t="s">
        <v>12</v>
      </c>
      <c r="G52" t="str">
        <f t="shared" si="4"/>
        <v>Raw Data/2023/FARS2023NationalAuxiliaryCSV/VEH_AUX.CSV</v>
      </c>
      <c r="H52" t="str">
        <f t="shared" si="5"/>
        <v>veh2023 &lt;- read.csv(Raw Data/2023/FARS2023NationalAuxiliaryCSV/VEH_AUX.CSV)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36F7-B082-4C68-A30C-B0878A4AA9A6}">
  <dimension ref="A1:N52"/>
  <sheetViews>
    <sheetView tabSelected="1" topLeftCell="I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7" max="7" width="11.5703125" customWidth="1"/>
    <col min="8" max="8" width="9.140625" customWidth="1"/>
    <col min="9" max="9" width="13.42578125" customWidth="1"/>
    <col min="10" max="10" width="4.85546875" customWidth="1"/>
    <col min="11" max="11" width="7.7109375" customWidth="1"/>
    <col min="12" max="12" width="69.28515625" bestFit="1" customWidth="1"/>
    <col min="13" max="13" width="111.7109375" bestFit="1" customWidth="1"/>
    <col min="14" max="14" width="126.140625" bestFit="1" customWidth="1"/>
    <col min="16" max="16" width="22.5703125" bestFit="1" customWidth="1"/>
  </cols>
  <sheetData>
    <row r="1" spans="1:14" x14ac:dyDescent="0.25">
      <c r="A1" t="s">
        <v>29</v>
      </c>
      <c r="B1" t="s">
        <v>30</v>
      </c>
      <c r="C1" t="s">
        <v>31</v>
      </c>
      <c r="D1" t="s">
        <v>32</v>
      </c>
      <c r="E1" t="s">
        <v>0</v>
      </c>
      <c r="F1" t="s">
        <v>33</v>
      </c>
      <c r="G1" t="s">
        <v>18</v>
      </c>
      <c r="H1" t="s">
        <v>19</v>
      </c>
      <c r="I1" t="s">
        <v>20</v>
      </c>
      <c r="J1" t="s">
        <v>21</v>
      </c>
      <c r="K1" t="s">
        <v>35</v>
      </c>
      <c r="L1" t="s">
        <v>34</v>
      </c>
      <c r="M1" t="s">
        <v>15</v>
      </c>
      <c r="N1" t="s">
        <v>8</v>
      </c>
    </row>
    <row r="2" spans="1:14" x14ac:dyDescent="0.25">
      <c r="A2" t="s">
        <v>17</v>
      </c>
      <c r="B2" t="str">
        <f>LOWER(A2)</f>
        <v>accident</v>
      </c>
      <c r="C2" t="s">
        <v>28</v>
      </c>
      <c r="D2" t="str">
        <f>LOWER(A2)</f>
        <v>accident</v>
      </c>
      <c r="E2" s="1">
        <v>2007</v>
      </c>
      <c r="F2" s="1" t="str">
        <f>IF(E2&lt;=2014,A2,IF(OR(E2=2015,E2=2018,E2=2020,E2=2021,E2=2022,E2=2023),B2,IF(OR(E2=2016,E2=2017),C2,IF(E2=2019,D2,""))))</f>
        <v>ACCIDENT</v>
      </c>
      <c r="G2" t="s">
        <v>7</v>
      </c>
      <c r="H2" t="s">
        <v>11</v>
      </c>
      <c r="I2" t="s">
        <v>22</v>
      </c>
      <c r="J2" t="s">
        <v>26</v>
      </c>
      <c r="K2" t="str">
        <f>IF(E2&lt;=2021,".CSV",".csv")</f>
        <v>.CSV</v>
      </c>
      <c r="L2" t="str">
        <f>IF(OR(E2=2007,E2=2008,E2=2022,E2=2023),CONCATENATE(G2,E2,H2,E2,I2,H2,E2,I2,J2,F2,K2),CONCATENATE(G2,E2,H2,E2,I2,J2,F2,K2))</f>
        <v>Raw Data/2007/FARS2007NationalCSV/FARS2007NationalCSV/ACCIDENT.CSV</v>
      </c>
      <c r="M2" t="str">
        <f>CONCATENATE(LOWER(F2),E2," &lt;- ","read.csv(",CHAR(34),L2,CHAR(34),")")</f>
        <v>accident2007 &lt;- read.csv("Raw Data/2007/FARS2007NationalCSV/FARS2007NationalCSV/ACCIDENT.CSV")</v>
      </c>
      <c r="N2" t="s">
        <v>23</v>
      </c>
    </row>
    <row r="3" spans="1:14" x14ac:dyDescent="0.25">
      <c r="A3" t="s">
        <v>17</v>
      </c>
      <c r="B3" t="str">
        <f t="shared" ref="B3:B52" si="0">LOWER(A3)</f>
        <v>accident</v>
      </c>
      <c r="C3" t="s">
        <v>28</v>
      </c>
      <c r="D3" t="str">
        <f t="shared" ref="D3:D18" si="1">LOWER(A3)</f>
        <v>accident</v>
      </c>
      <c r="E3">
        <v>2008</v>
      </c>
      <c r="F3" s="1" t="str">
        <f t="shared" ref="F3:F52" si="2">IF(E3&lt;=2014,A3,IF(OR(E3=2015,E3=2018,E3=2020,E3=2021,E3=2022,E3=2023),B3,IF(OR(E3=2016,E3=2017),C3,IF(E3=2019,D3,""))))</f>
        <v>ACCIDENT</v>
      </c>
      <c r="G3" t="s">
        <v>7</v>
      </c>
      <c r="H3" t="s">
        <v>11</v>
      </c>
      <c r="I3" t="s">
        <v>22</v>
      </c>
      <c r="J3" t="s">
        <v>26</v>
      </c>
      <c r="K3" t="str">
        <f t="shared" ref="K3:K52" si="3">IF(E3&lt;=2021,".CSV",".csv")</f>
        <v>.CSV</v>
      </c>
      <c r="L3" t="str">
        <f>IF(OR(E3=2007,E3=2008,E3=2022,E3=2023),CONCATENATE(G3,E3,H3,E3,I3,H3,E3,I3,J3,F3,K3),CONCATENATE(G3,E3,H3,E3,I3,J3,F3,K3))</f>
        <v>Raw Data/2008/FARS2008NationalCSV/FARS2008NationalCSV/ACCIDENT.CSV</v>
      </c>
      <c r="M3" t="str">
        <f>CONCATENATE(LOWER(F3),E3," &lt;- ","read.csv(",CHAR(34),L3,CHAR(34),")")</f>
        <v>accident2008 &lt;- read.csv("Raw Data/2008/FARS2008NationalCSV/FARS2008NationalCSV/ACCIDENT.CSV")</v>
      </c>
    </row>
    <row r="4" spans="1:14" x14ac:dyDescent="0.25">
      <c r="A4" t="s">
        <v>17</v>
      </c>
      <c r="B4" t="str">
        <f t="shared" si="0"/>
        <v>accident</v>
      </c>
      <c r="C4" t="s">
        <v>28</v>
      </c>
      <c r="D4" t="str">
        <f t="shared" si="1"/>
        <v>accident</v>
      </c>
      <c r="E4" s="1">
        <v>2009</v>
      </c>
      <c r="F4" s="1" t="str">
        <f t="shared" si="2"/>
        <v>ACCIDENT</v>
      </c>
      <c r="G4" t="s">
        <v>7</v>
      </c>
      <c r="H4" t="s">
        <v>11</v>
      </c>
      <c r="I4" t="s">
        <v>22</v>
      </c>
      <c r="J4" t="s">
        <v>26</v>
      </c>
      <c r="K4" t="str">
        <f t="shared" si="3"/>
        <v>.CSV</v>
      </c>
      <c r="L4" t="str">
        <f>IF(OR(E4=2007,E4=2008,E4=2022,E4=2023),CONCATENATE(G4,E4,H4,E4,I4,H4,E4,I4,J4,F4,K4),CONCATENATE(G4,E4,H4,E4,I4,J4,F4,K4))</f>
        <v>Raw Data/2009/FARS2009NationalCSV/ACCIDENT.CSV</v>
      </c>
      <c r="M4" t="str">
        <f>CONCATENATE(LOWER(F4),E4," &lt;- ","read.csv(",CHAR(34),L4,CHAR(34),")")</f>
        <v>accident2009 &lt;- read.csv("Raw Data/2009/FARS2009NationalCSV/ACCIDENT.CSV")</v>
      </c>
    </row>
    <row r="5" spans="1:14" x14ac:dyDescent="0.25">
      <c r="A5" t="s">
        <v>17</v>
      </c>
      <c r="B5" t="str">
        <f t="shared" si="0"/>
        <v>accident</v>
      </c>
      <c r="C5" t="s">
        <v>28</v>
      </c>
      <c r="D5" t="str">
        <f t="shared" si="1"/>
        <v>accident</v>
      </c>
      <c r="E5">
        <v>2010</v>
      </c>
      <c r="F5" s="1" t="str">
        <f t="shared" si="2"/>
        <v>ACCIDENT</v>
      </c>
      <c r="G5" t="s">
        <v>7</v>
      </c>
      <c r="H5" t="s">
        <v>11</v>
      </c>
      <c r="I5" t="s">
        <v>22</v>
      </c>
      <c r="J5" t="s">
        <v>26</v>
      </c>
      <c r="K5" t="str">
        <f t="shared" si="3"/>
        <v>.CSV</v>
      </c>
      <c r="L5" t="str">
        <f>IF(OR(E5=2007,E5=2008,E5=2022,E5=2023),CONCATENATE(G5,E5,H5,E5,I5,H5,E5,I5,J5,F5,K5),CONCATENATE(G5,E5,H5,E5,I5,J5,F5,K5))</f>
        <v>Raw Data/2010/FARS2010NationalCSV/ACCIDENT.CSV</v>
      </c>
      <c r="M5" t="str">
        <f>CONCATENATE(LOWER(F5),E5," &lt;- ","read.csv(",CHAR(34),L5,CHAR(34),")")</f>
        <v>accident2010 &lt;- read.csv("Raw Data/2010/FARS2010NationalCSV/ACCIDENT.CSV")</v>
      </c>
    </row>
    <row r="6" spans="1:14" x14ac:dyDescent="0.25">
      <c r="A6" t="s">
        <v>17</v>
      </c>
      <c r="B6" t="str">
        <f t="shared" si="0"/>
        <v>accident</v>
      </c>
      <c r="C6" t="s">
        <v>28</v>
      </c>
      <c r="D6" t="str">
        <f t="shared" si="1"/>
        <v>accident</v>
      </c>
      <c r="E6" s="1">
        <v>2011</v>
      </c>
      <c r="F6" s="1" t="str">
        <f t="shared" si="2"/>
        <v>ACCIDENT</v>
      </c>
      <c r="G6" t="s">
        <v>7</v>
      </c>
      <c r="H6" t="s">
        <v>11</v>
      </c>
      <c r="I6" t="s">
        <v>22</v>
      </c>
      <c r="J6" t="s">
        <v>26</v>
      </c>
      <c r="K6" t="str">
        <f t="shared" si="3"/>
        <v>.CSV</v>
      </c>
      <c r="L6" t="str">
        <f>IF(OR(E6=2007,E6=2008,E6=2022,E6=2023),CONCATENATE(G6,E6,H6,E6,I6,H6,E6,I6,J6,F6,K6),CONCATENATE(G6,E6,H6,E6,I6,J6,F6,K6))</f>
        <v>Raw Data/2011/FARS2011NationalCSV/ACCIDENT.CSV</v>
      </c>
      <c r="M6" t="str">
        <f>CONCATENATE(LOWER(F6),E6," &lt;- ","read.csv(",CHAR(34),L6,CHAR(34),")")</f>
        <v>accident2011 &lt;- read.csv("Raw Data/2011/FARS2011NationalCSV/ACCIDENT.CSV")</v>
      </c>
    </row>
    <row r="7" spans="1:14" x14ac:dyDescent="0.25">
      <c r="A7" t="s">
        <v>17</v>
      </c>
      <c r="B7" t="str">
        <f t="shared" si="0"/>
        <v>accident</v>
      </c>
      <c r="C7" t="s">
        <v>28</v>
      </c>
      <c r="D7" t="str">
        <f t="shared" si="1"/>
        <v>accident</v>
      </c>
      <c r="E7">
        <v>2012</v>
      </c>
      <c r="F7" s="1" t="str">
        <f t="shared" si="2"/>
        <v>ACCIDENT</v>
      </c>
      <c r="G7" t="s">
        <v>7</v>
      </c>
      <c r="H7" t="s">
        <v>11</v>
      </c>
      <c r="I7" t="s">
        <v>22</v>
      </c>
      <c r="J7" t="s">
        <v>26</v>
      </c>
      <c r="K7" t="str">
        <f t="shared" si="3"/>
        <v>.CSV</v>
      </c>
      <c r="L7" t="str">
        <f>IF(OR(E7=2007,E7=2008,E7=2022,E7=2023),CONCATENATE(G7,E7,H7,E7,I7,H7,E7,I7,J7,F7,K7),CONCATENATE(G7,E7,H7,E7,I7,J7,F7,K7))</f>
        <v>Raw Data/2012/FARS2012NationalCSV/ACCIDENT.CSV</v>
      </c>
      <c r="M7" t="str">
        <f>CONCATENATE(LOWER(F7),E7," &lt;- ","read.csv(",CHAR(34),L7,CHAR(34),")")</f>
        <v>accident2012 &lt;- read.csv("Raw Data/2012/FARS2012NationalCSV/ACCIDENT.CSV")</v>
      </c>
    </row>
    <row r="8" spans="1:14" x14ac:dyDescent="0.25">
      <c r="A8" t="s">
        <v>17</v>
      </c>
      <c r="B8" t="str">
        <f t="shared" si="0"/>
        <v>accident</v>
      </c>
      <c r="C8" t="s">
        <v>28</v>
      </c>
      <c r="D8" t="str">
        <f t="shared" si="1"/>
        <v>accident</v>
      </c>
      <c r="E8" s="1">
        <v>2013</v>
      </c>
      <c r="F8" s="1" t="str">
        <f t="shared" si="2"/>
        <v>ACCIDENT</v>
      </c>
      <c r="G8" t="s">
        <v>7</v>
      </c>
      <c r="H8" t="s">
        <v>11</v>
      </c>
      <c r="I8" t="s">
        <v>22</v>
      </c>
      <c r="J8" t="s">
        <v>26</v>
      </c>
      <c r="K8" t="str">
        <f t="shared" si="3"/>
        <v>.CSV</v>
      </c>
      <c r="L8" t="str">
        <f>IF(OR(E8=2007,E8=2008,E8=2022,E8=2023),CONCATENATE(G8,E8,H8,E8,I8,H8,E8,I8,J8,F8,K8),CONCATENATE(G8,E8,H8,E8,I8,J8,F8,K8))</f>
        <v>Raw Data/2013/FARS2013NationalCSV/ACCIDENT.CSV</v>
      </c>
      <c r="M8" t="str">
        <f>CONCATENATE(LOWER(F8),E8," &lt;- ","read.csv(",CHAR(34),L8,CHAR(34),")")</f>
        <v>accident2013 &lt;- read.csv("Raw Data/2013/FARS2013NationalCSV/ACCIDENT.CSV")</v>
      </c>
    </row>
    <row r="9" spans="1:14" x14ac:dyDescent="0.25">
      <c r="A9" t="s">
        <v>17</v>
      </c>
      <c r="B9" t="str">
        <f t="shared" si="0"/>
        <v>accident</v>
      </c>
      <c r="C9" t="s">
        <v>28</v>
      </c>
      <c r="D9" t="str">
        <f t="shared" si="1"/>
        <v>accident</v>
      </c>
      <c r="E9">
        <v>2014</v>
      </c>
      <c r="F9" s="1" t="str">
        <f t="shared" si="2"/>
        <v>ACCIDENT</v>
      </c>
      <c r="G9" t="s">
        <v>7</v>
      </c>
      <c r="H9" t="s">
        <v>11</v>
      </c>
      <c r="I9" t="s">
        <v>22</v>
      </c>
      <c r="J9" t="s">
        <v>26</v>
      </c>
      <c r="K9" t="str">
        <f t="shared" si="3"/>
        <v>.CSV</v>
      </c>
      <c r="L9" t="str">
        <f>IF(OR(E9=2007,E9=2008,E9=2022,E9=2023),CONCATENATE(G9,E9,H9,E9,I9,H9,E9,I9,J9,F9,K9),CONCATENATE(G9,E9,H9,E9,I9,J9,F9,K9))</f>
        <v>Raw Data/2014/FARS2014NationalCSV/ACCIDENT.CSV</v>
      </c>
      <c r="M9" t="str">
        <f>CONCATENATE(LOWER(F9),E9," &lt;- ","read.csv(",CHAR(34),L9,CHAR(34),")")</f>
        <v>accident2014 &lt;- read.csv("Raw Data/2014/FARS2014NationalCSV/ACCIDENT.CSV")</v>
      </c>
    </row>
    <row r="10" spans="1:14" x14ac:dyDescent="0.25">
      <c r="A10" t="s">
        <v>17</v>
      </c>
      <c r="B10" t="str">
        <f t="shared" si="0"/>
        <v>accident</v>
      </c>
      <c r="C10" t="s">
        <v>28</v>
      </c>
      <c r="D10" t="str">
        <f t="shared" si="1"/>
        <v>accident</v>
      </c>
      <c r="E10" s="1">
        <v>2015</v>
      </c>
      <c r="F10" s="1" t="str">
        <f t="shared" si="2"/>
        <v>accident</v>
      </c>
      <c r="G10" t="s">
        <v>7</v>
      </c>
      <c r="H10" t="s">
        <v>11</v>
      </c>
      <c r="I10" t="s">
        <v>22</v>
      </c>
      <c r="J10" t="s">
        <v>26</v>
      </c>
      <c r="K10" t="str">
        <f t="shared" si="3"/>
        <v>.CSV</v>
      </c>
      <c r="L10" t="str">
        <f>IF(OR(E10=2007,E10=2008,E10=2022,E10=2023),CONCATENATE(G10,E10,H10,E10,I10,H10,E10,I10,J10,F10,K10),CONCATENATE(G10,E10,H10,E10,I10,J10,F10,K10))</f>
        <v>Raw Data/2015/FARS2015NationalCSV/accident.CSV</v>
      </c>
      <c r="M10" t="str">
        <f>CONCATENATE(LOWER(F10),E10," &lt;- ","read.csv(",CHAR(34),L10,CHAR(34),")")</f>
        <v>accident2015 &lt;- read.csv("Raw Data/2015/FARS2015NationalCSV/accident.CSV")</v>
      </c>
      <c r="N10" t="s">
        <v>27</v>
      </c>
    </row>
    <row r="11" spans="1:14" x14ac:dyDescent="0.25">
      <c r="A11" t="s">
        <v>17</v>
      </c>
      <c r="B11" t="str">
        <f t="shared" si="0"/>
        <v>accident</v>
      </c>
      <c r="C11" t="s">
        <v>28</v>
      </c>
      <c r="D11" t="str">
        <f t="shared" si="1"/>
        <v>accident</v>
      </c>
      <c r="E11">
        <v>2016</v>
      </c>
      <c r="F11" s="1" t="str">
        <f t="shared" si="2"/>
        <v>accident</v>
      </c>
      <c r="G11" t="s">
        <v>7</v>
      </c>
      <c r="H11" t="s">
        <v>11</v>
      </c>
      <c r="I11" t="s">
        <v>22</v>
      </c>
      <c r="J11" t="s">
        <v>26</v>
      </c>
      <c r="K11" t="str">
        <f t="shared" si="3"/>
        <v>.CSV</v>
      </c>
      <c r="L11" t="str">
        <f>IF(OR(E11=2007,E11=2008,E11=2022,E11=2023),CONCATENATE(G11,E11,H11,E11,I11,H11,E11,I11,J11,F11,K11),CONCATENATE(G11,E11,H11,E11,I11,J11,F11,K11))</f>
        <v>Raw Data/2016/FARS2016NationalCSV/accident.CSV</v>
      </c>
      <c r="M11" t="str">
        <f>CONCATENATE(LOWER(F11),E11," &lt;- ","read.csv(",CHAR(34),L11,CHAR(34),")")</f>
        <v>accident2016 &lt;- read.csv("Raw Data/2016/FARS2016NationalCSV/accident.CSV")</v>
      </c>
    </row>
    <row r="12" spans="1:14" x14ac:dyDescent="0.25">
      <c r="A12" t="s">
        <v>17</v>
      </c>
      <c r="B12" t="str">
        <f t="shared" si="0"/>
        <v>accident</v>
      </c>
      <c r="C12" t="s">
        <v>28</v>
      </c>
      <c r="D12" t="str">
        <f t="shared" si="1"/>
        <v>accident</v>
      </c>
      <c r="E12" s="1">
        <v>2017</v>
      </c>
      <c r="F12" s="1" t="str">
        <f t="shared" si="2"/>
        <v>accident</v>
      </c>
      <c r="G12" t="s">
        <v>7</v>
      </c>
      <c r="H12" t="s">
        <v>11</v>
      </c>
      <c r="I12" t="s">
        <v>22</v>
      </c>
      <c r="J12" t="s">
        <v>26</v>
      </c>
      <c r="K12" t="str">
        <f t="shared" si="3"/>
        <v>.CSV</v>
      </c>
      <c r="L12" t="str">
        <f>IF(OR(E12=2007,E12=2008,E12=2022,E12=2023),CONCATENATE(G12,E12,H12,E12,I12,H12,E12,I12,J12,F12,K12),CONCATENATE(G12,E12,H12,E12,I12,J12,F12,K12))</f>
        <v>Raw Data/2017/FARS2017NationalCSV/accident.CSV</v>
      </c>
      <c r="M12" t="str">
        <f>CONCATENATE(LOWER(F12),E12," &lt;- ","read.csv(",CHAR(34),L12,CHAR(34),")")</f>
        <v>accident2017 &lt;- read.csv("Raw Data/2017/FARS2017NationalCSV/accident.CSV")</v>
      </c>
    </row>
    <row r="13" spans="1:14" x14ac:dyDescent="0.25">
      <c r="A13" t="s">
        <v>17</v>
      </c>
      <c r="B13" t="str">
        <f t="shared" si="0"/>
        <v>accident</v>
      </c>
      <c r="C13" t="s">
        <v>28</v>
      </c>
      <c r="D13" t="str">
        <f t="shared" si="1"/>
        <v>accident</v>
      </c>
      <c r="E13">
        <v>2018</v>
      </c>
      <c r="F13" s="1" t="str">
        <f t="shared" si="2"/>
        <v>accident</v>
      </c>
      <c r="G13" t="s">
        <v>7</v>
      </c>
      <c r="H13" t="s">
        <v>11</v>
      </c>
      <c r="I13" t="s">
        <v>22</v>
      </c>
      <c r="J13" t="s">
        <v>26</v>
      </c>
      <c r="K13" t="str">
        <f t="shared" si="3"/>
        <v>.CSV</v>
      </c>
      <c r="L13" t="str">
        <f>IF(OR(E13=2007,E13=2008,E13=2022,E13=2023),CONCATENATE(G13,E13,H13,E13,I13,H13,E13,I13,J13,F13,K13),CONCATENATE(G13,E13,H13,E13,I13,J13,F13,K13))</f>
        <v>Raw Data/2018/FARS2018NationalCSV/accident.CSV</v>
      </c>
      <c r="M13" t="str">
        <f>CONCATENATE(LOWER(F13),E13," &lt;- ","read.csv(",CHAR(34),L13,CHAR(34),")")</f>
        <v>accident2018 &lt;- read.csv("Raw Data/2018/FARS2018NationalCSV/accident.CSV")</v>
      </c>
    </row>
    <row r="14" spans="1:14" x14ac:dyDescent="0.25">
      <c r="A14" t="s">
        <v>17</v>
      </c>
      <c r="B14" t="str">
        <f t="shared" si="0"/>
        <v>accident</v>
      </c>
      <c r="C14" t="s">
        <v>28</v>
      </c>
      <c r="D14" t="str">
        <f t="shared" si="1"/>
        <v>accident</v>
      </c>
      <c r="E14" s="1">
        <v>2019</v>
      </c>
      <c r="F14" s="1" t="str">
        <f t="shared" si="2"/>
        <v>accident</v>
      </c>
      <c r="G14" t="s">
        <v>7</v>
      </c>
      <c r="H14" t="s">
        <v>11</v>
      </c>
      <c r="I14" t="s">
        <v>22</v>
      </c>
      <c r="J14" t="s">
        <v>26</v>
      </c>
      <c r="K14" t="str">
        <f t="shared" si="3"/>
        <v>.CSV</v>
      </c>
      <c r="L14" t="str">
        <f>IF(OR(E14=2007,E14=2008,E14=2022,E14=2023),CONCATENATE(G14,E14,H14,E14,I14,H14,E14,I14,J14,F14,K14),CONCATENATE(G14,E14,H14,E14,I14,J14,F14,K14))</f>
        <v>Raw Data/2019/FARS2019NationalCSV/accident.CSV</v>
      </c>
      <c r="M14" t="str">
        <f>CONCATENATE(LOWER(F14),E14," &lt;- ","read.csv(",CHAR(34),L14,CHAR(34),")")</f>
        <v>accident2019 &lt;- read.csv("Raw Data/2019/FARS2019NationalCSV/accident.CSV")</v>
      </c>
    </row>
    <row r="15" spans="1:14" x14ac:dyDescent="0.25">
      <c r="A15" t="s">
        <v>17</v>
      </c>
      <c r="B15" t="str">
        <f t="shared" si="0"/>
        <v>accident</v>
      </c>
      <c r="C15" t="s">
        <v>28</v>
      </c>
      <c r="D15" t="str">
        <f t="shared" si="1"/>
        <v>accident</v>
      </c>
      <c r="E15">
        <v>2020</v>
      </c>
      <c r="F15" s="1" t="str">
        <f t="shared" si="2"/>
        <v>accident</v>
      </c>
      <c r="G15" t="s">
        <v>7</v>
      </c>
      <c r="H15" t="s">
        <v>11</v>
      </c>
      <c r="I15" t="s">
        <v>22</v>
      </c>
      <c r="J15" t="s">
        <v>26</v>
      </c>
      <c r="K15" t="str">
        <f t="shared" si="3"/>
        <v>.CSV</v>
      </c>
      <c r="L15" t="str">
        <f>IF(OR(E15=2007,E15=2008,E15=2022,E15=2023),CONCATENATE(G15,E15,H15,E15,I15,H15,E15,I15,J15,F15,K15),CONCATENATE(G15,E15,H15,E15,I15,J15,F15,K15))</f>
        <v>Raw Data/2020/FARS2020NationalCSV/accident.CSV</v>
      </c>
      <c r="M15" t="str">
        <f>CONCATENATE(LOWER(F15),E15," &lt;- ","read.csv(",CHAR(34),L15,CHAR(34),")")</f>
        <v>accident2020 &lt;- read.csv("Raw Data/2020/FARS2020NationalCSV/accident.CSV")</v>
      </c>
    </row>
    <row r="16" spans="1:14" x14ac:dyDescent="0.25">
      <c r="A16" t="s">
        <v>17</v>
      </c>
      <c r="B16" t="str">
        <f t="shared" si="0"/>
        <v>accident</v>
      </c>
      <c r="C16" t="s">
        <v>28</v>
      </c>
      <c r="D16" t="str">
        <f t="shared" si="1"/>
        <v>accident</v>
      </c>
      <c r="E16" s="1">
        <v>2021</v>
      </c>
      <c r="F16" s="1" t="str">
        <f t="shared" si="2"/>
        <v>accident</v>
      </c>
      <c r="G16" t="s">
        <v>7</v>
      </c>
      <c r="H16" t="s">
        <v>11</v>
      </c>
      <c r="I16" t="s">
        <v>22</v>
      </c>
      <c r="J16" t="s">
        <v>26</v>
      </c>
      <c r="K16" t="str">
        <f t="shared" si="3"/>
        <v>.CSV</v>
      </c>
      <c r="L16" t="str">
        <f>IF(OR(E16=2007,E16=2008,E16=2022,E16=2023),CONCATENATE(G16,E16,H16,E16,I16,H16,E16,I16,J16,F16,K16),CONCATENATE(G16,E16,H16,E16,I16,J16,F16,K16))</f>
        <v>Raw Data/2021/FARS2021NationalCSV/accident.CSV</v>
      </c>
      <c r="M16" t="str">
        <f>CONCATENATE(LOWER(F16),E16," &lt;- ","read.csv(",CHAR(34),L16,CHAR(34),")")</f>
        <v>accident2021 &lt;- read.csv("Raw Data/2021/FARS2021NationalCSV/accident.CSV")</v>
      </c>
    </row>
    <row r="17" spans="1:13" x14ac:dyDescent="0.25">
      <c r="A17" t="s">
        <v>17</v>
      </c>
      <c r="B17" t="str">
        <f t="shared" si="0"/>
        <v>accident</v>
      </c>
      <c r="C17" t="s">
        <v>28</v>
      </c>
      <c r="D17" t="str">
        <f t="shared" si="1"/>
        <v>accident</v>
      </c>
      <c r="E17">
        <v>2022</v>
      </c>
      <c r="F17" s="1" t="str">
        <f t="shared" si="2"/>
        <v>accident</v>
      </c>
      <c r="G17" t="s">
        <v>7</v>
      </c>
      <c r="H17" t="s">
        <v>11</v>
      </c>
      <c r="I17" t="s">
        <v>22</v>
      </c>
      <c r="J17" t="s">
        <v>26</v>
      </c>
      <c r="K17" t="str">
        <f t="shared" si="3"/>
        <v>.csv</v>
      </c>
      <c r="L17" t="str">
        <f>IF(OR(E17=2007,E17=2008,E17=2022,E17=2023),CONCATENATE(G17,E17,H17,E17,I17,H17,E17,I17,J17,F17,K17),CONCATENATE(G17,E17,H17,E17,I17,J17,F17,K17))</f>
        <v>Raw Data/2022/FARS2022NationalCSV/FARS2022NationalCSV/accident.csv</v>
      </c>
      <c r="M17" t="str">
        <f>CONCATENATE(LOWER(F17),E17," &lt;- ","read.csv(",CHAR(34),L17,CHAR(34),")")</f>
        <v>accident2022 &lt;- read.csv("Raw Data/2022/FARS2022NationalCSV/FARS2022NationalCSV/accident.csv")</v>
      </c>
    </row>
    <row r="18" spans="1:13" x14ac:dyDescent="0.25">
      <c r="A18" t="s">
        <v>17</v>
      </c>
      <c r="B18" t="str">
        <f t="shared" si="0"/>
        <v>accident</v>
      </c>
      <c r="C18" t="s">
        <v>28</v>
      </c>
      <c r="D18" t="str">
        <f t="shared" si="1"/>
        <v>accident</v>
      </c>
      <c r="E18">
        <v>2023</v>
      </c>
      <c r="F18" s="1" t="str">
        <f t="shared" si="2"/>
        <v>accident</v>
      </c>
      <c r="G18" t="s">
        <v>7</v>
      </c>
      <c r="H18" t="s">
        <v>11</v>
      </c>
      <c r="I18" t="s">
        <v>22</v>
      </c>
      <c r="J18" t="s">
        <v>26</v>
      </c>
      <c r="K18" t="str">
        <f t="shared" si="3"/>
        <v>.csv</v>
      </c>
      <c r="L18" t="str">
        <f>IF(OR(E18=2007,E18=2008,E18=2022,E18=2023),CONCATENATE(G18,E18,H18,E18,I18,H18,E18,I18,J18,F18,K18),CONCATENATE(G18,E18,H18,E18,I18,J18,F18,K18))</f>
        <v>Raw Data/2023/FARS2023NationalCSV/FARS2023NationalCSV/accident.csv</v>
      </c>
      <c r="M18" t="str">
        <f>CONCATENATE(LOWER(F18),E18," &lt;- ","read.csv(",CHAR(34),L18,CHAR(34),")")</f>
        <v>accident2023 &lt;- read.csv("Raw Data/2023/FARS2023NationalCSV/FARS2023NationalCSV/accident.csv")</v>
      </c>
    </row>
    <row r="19" spans="1:13" x14ac:dyDescent="0.25">
      <c r="A19" t="s">
        <v>24</v>
      </c>
      <c r="B19" t="str">
        <f t="shared" si="0"/>
        <v>person</v>
      </c>
      <c r="C19" t="str">
        <f>PROPER(A19)</f>
        <v>Person</v>
      </c>
      <c r="D19" t="str">
        <f>PROPER(A19)</f>
        <v>Person</v>
      </c>
      <c r="E19" s="1">
        <v>2007</v>
      </c>
      <c r="F19" s="1" t="str">
        <f t="shared" si="2"/>
        <v>PERSON</v>
      </c>
      <c r="G19" t="s">
        <v>7</v>
      </c>
      <c r="H19" t="s">
        <v>11</v>
      </c>
      <c r="I19" t="s">
        <v>22</v>
      </c>
      <c r="J19" t="s">
        <v>26</v>
      </c>
      <c r="K19" t="str">
        <f t="shared" si="3"/>
        <v>.CSV</v>
      </c>
      <c r="L19" t="str">
        <f>IF(OR(E19=2007,E19=2008,E19=2022,E19=2023),CONCATENATE(G19,E19,H19,E19,I19,H19,E19,I19,J19,F19,K19),CONCATENATE(G19,E19,H19,E19,I19,J19,F19,K19))</f>
        <v>Raw Data/2007/FARS2007NationalCSV/FARS2007NationalCSV/PERSON.CSV</v>
      </c>
      <c r="M19" t="str">
        <f>CONCATENATE(LOWER(F19),E19," &lt;- ","read.csv(",CHAR(34),L19,CHAR(34),")")</f>
        <v>person2007 &lt;- read.csv("Raw Data/2007/FARS2007NationalCSV/FARS2007NationalCSV/PERSON.CSV")</v>
      </c>
    </row>
    <row r="20" spans="1:13" x14ac:dyDescent="0.25">
      <c r="A20" t="s">
        <v>24</v>
      </c>
      <c r="B20" t="str">
        <f t="shared" si="0"/>
        <v>person</v>
      </c>
      <c r="C20" t="str">
        <f t="shared" ref="C20:C52" si="4">PROPER(A20)</f>
        <v>Person</v>
      </c>
      <c r="D20" t="str">
        <f t="shared" ref="D20:D35" si="5">PROPER(A20)</f>
        <v>Person</v>
      </c>
      <c r="E20">
        <v>2008</v>
      </c>
      <c r="F20" s="1" t="str">
        <f t="shared" si="2"/>
        <v>PERSON</v>
      </c>
      <c r="G20" t="s">
        <v>7</v>
      </c>
      <c r="H20" t="s">
        <v>11</v>
      </c>
      <c r="I20" t="s">
        <v>22</v>
      </c>
      <c r="J20" t="s">
        <v>26</v>
      </c>
      <c r="K20" t="str">
        <f t="shared" si="3"/>
        <v>.CSV</v>
      </c>
      <c r="L20" t="str">
        <f>IF(OR(E20=2007,E20=2008,E20=2022,E20=2023),CONCATENATE(G20,E20,H20,E20,I20,H20,E20,I20,J20,F20,K20),CONCATENATE(G20,E20,H20,E20,I20,J20,F20,K20))</f>
        <v>Raw Data/2008/FARS2008NationalCSV/FARS2008NationalCSV/PERSON.CSV</v>
      </c>
      <c r="M20" t="str">
        <f>CONCATENATE(LOWER(F20),E20," &lt;- ","read.csv(",CHAR(34),L20,CHAR(34),")")</f>
        <v>person2008 &lt;- read.csv("Raw Data/2008/FARS2008NationalCSV/FARS2008NationalCSV/PERSON.CSV")</v>
      </c>
    </row>
    <row r="21" spans="1:13" x14ac:dyDescent="0.25">
      <c r="A21" t="s">
        <v>24</v>
      </c>
      <c r="B21" t="str">
        <f t="shared" si="0"/>
        <v>person</v>
      </c>
      <c r="C21" t="str">
        <f t="shared" si="4"/>
        <v>Person</v>
      </c>
      <c r="D21" t="str">
        <f t="shared" si="5"/>
        <v>Person</v>
      </c>
      <c r="E21" s="1">
        <v>2009</v>
      </c>
      <c r="F21" s="1" t="str">
        <f t="shared" si="2"/>
        <v>PERSON</v>
      </c>
      <c r="G21" t="s">
        <v>7</v>
      </c>
      <c r="H21" t="s">
        <v>11</v>
      </c>
      <c r="I21" t="s">
        <v>22</v>
      </c>
      <c r="J21" t="s">
        <v>26</v>
      </c>
      <c r="K21" t="str">
        <f t="shared" si="3"/>
        <v>.CSV</v>
      </c>
      <c r="L21" t="str">
        <f>IF(OR(E21=2007,E21=2008,E21=2022,E21=2023),CONCATENATE(G21,E21,H21,E21,I21,H21,E21,I21,J21,F21,K21),CONCATENATE(G21,E21,H21,E21,I21,J21,F21,K21))</f>
        <v>Raw Data/2009/FARS2009NationalCSV/PERSON.CSV</v>
      </c>
      <c r="M21" t="str">
        <f>CONCATENATE(LOWER(F21),E21," &lt;- ","read.csv(",CHAR(34),L21,CHAR(34),")")</f>
        <v>person2009 &lt;- read.csv("Raw Data/2009/FARS2009NationalCSV/PERSON.CSV")</v>
      </c>
    </row>
    <row r="22" spans="1:13" x14ac:dyDescent="0.25">
      <c r="A22" t="s">
        <v>24</v>
      </c>
      <c r="B22" t="str">
        <f t="shared" si="0"/>
        <v>person</v>
      </c>
      <c r="C22" t="str">
        <f t="shared" si="4"/>
        <v>Person</v>
      </c>
      <c r="D22" t="str">
        <f t="shared" si="5"/>
        <v>Person</v>
      </c>
      <c r="E22">
        <v>2010</v>
      </c>
      <c r="F22" s="1" t="str">
        <f t="shared" si="2"/>
        <v>PERSON</v>
      </c>
      <c r="G22" t="s">
        <v>7</v>
      </c>
      <c r="H22" t="s">
        <v>11</v>
      </c>
      <c r="I22" t="s">
        <v>22</v>
      </c>
      <c r="J22" t="s">
        <v>26</v>
      </c>
      <c r="K22" t="str">
        <f t="shared" si="3"/>
        <v>.CSV</v>
      </c>
      <c r="L22" t="str">
        <f>IF(OR(E22=2007,E22=2008,E22=2022,E22=2023),CONCATENATE(G22,E22,H22,E22,I22,H22,E22,I22,J22,F22,K22),CONCATENATE(G22,E22,H22,E22,I22,J22,F22,K22))</f>
        <v>Raw Data/2010/FARS2010NationalCSV/PERSON.CSV</v>
      </c>
      <c r="M22" t="str">
        <f>CONCATENATE(LOWER(F22),E22," &lt;- ","read.csv(",CHAR(34),L22,CHAR(34),")")</f>
        <v>person2010 &lt;- read.csv("Raw Data/2010/FARS2010NationalCSV/PERSON.CSV")</v>
      </c>
    </row>
    <row r="23" spans="1:13" x14ac:dyDescent="0.25">
      <c r="A23" t="s">
        <v>24</v>
      </c>
      <c r="B23" t="str">
        <f t="shared" si="0"/>
        <v>person</v>
      </c>
      <c r="C23" t="str">
        <f t="shared" si="4"/>
        <v>Person</v>
      </c>
      <c r="D23" t="str">
        <f t="shared" si="5"/>
        <v>Person</v>
      </c>
      <c r="E23" s="1">
        <v>2011</v>
      </c>
      <c r="F23" s="1" t="str">
        <f t="shared" si="2"/>
        <v>PERSON</v>
      </c>
      <c r="G23" t="s">
        <v>7</v>
      </c>
      <c r="H23" t="s">
        <v>11</v>
      </c>
      <c r="I23" t="s">
        <v>22</v>
      </c>
      <c r="J23" t="s">
        <v>26</v>
      </c>
      <c r="K23" t="str">
        <f t="shared" si="3"/>
        <v>.CSV</v>
      </c>
      <c r="L23" t="str">
        <f>IF(OR(E23=2007,E23=2008,E23=2022,E23=2023),CONCATENATE(G23,E23,H23,E23,I23,H23,E23,I23,J23,F23,K23),CONCATENATE(G23,E23,H23,E23,I23,J23,F23,K23))</f>
        <v>Raw Data/2011/FARS2011NationalCSV/PERSON.CSV</v>
      </c>
      <c r="M23" t="str">
        <f>CONCATENATE(LOWER(F23),E23," &lt;- ","read.csv(",CHAR(34),L23,CHAR(34),")")</f>
        <v>person2011 &lt;- read.csv("Raw Data/2011/FARS2011NationalCSV/PERSON.CSV")</v>
      </c>
    </row>
    <row r="24" spans="1:13" x14ac:dyDescent="0.25">
      <c r="A24" t="s">
        <v>24</v>
      </c>
      <c r="B24" t="str">
        <f t="shared" si="0"/>
        <v>person</v>
      </c>
      <c r="C24" t="str">
        <f t="shared" si="4"/>
        <v>Person</v>
      </c>
      <c r="D24" t="str">
        <f t="shared" si="5"/>
        <v>Person</v>
      </c>
      <c r="E24">
        <v>2012</v>
      </c>
      <c r="F24" s="1" t="str">
        <f t="shared" si="2"/>
        <v>PERSON</v>
      </c>
      <c r="G24" t="s">
        <v>7</v>
      </c>
      <c r="H24" t="s">
        <v>11</v>
      </c>
      <c r="I24" t="s">
        <v>22</v>
      </c>
      <c r="J24" t="s">
        <v>26</v>
      </c>
      <c r="K24" t="str">
        <f t="shared" si="3"/>
        <v>.CSV</v>
      </c>
      <c r="L24" t="str">
        <f>IF(OR(E24=2007,E24=2008,E24=2022,E24=2023),CONCATENATE(G24,E24,H24,E24,I24,H24,E24,I24,J24,F24,K24),CONCATENATE(G24,E24,H24,E24,I24,J24,F24,K24))</f>
        <v>Raw Data/2012/FARS2012NationalCSV/PERSON.CSV</v>
      </c>
      <c r="M24" t="str">
        <f>CONCATENATE(LOWER(F24),E24," &lt;- ","read.csv(",CHAR(34),L24,CHAR(34),")")</f>
        <v>person2012 &lt;- read.csv("Raw Data/2012/FARS2012NationalCSV/PERSON.CSV")</v>
      </c>
    </row>
    <row r="25" spans="1:13" x14ac:dyDescent="0.25">
      <c r="A25" t="s">
        <v>24</v>
      </c>
      <c r="B25" t="str">
        <f t="shared" si="0"/>
        <v>person</v>
      </c>
      <c r="C25" t="str">
        <f t="shared" si="4"/>
        <v>Person</v>
      </c>
      <c r="D25" t="str">
        <f t="shared" si="5"/>
        <v>Person</v>
      </c>
      <c r="E25" s="1">
        <v>2013</v>
      </c>
      <c r="F25" s="1" t="str">
        <f t="shared" si="2"/>
        <v>PERSON</v>
      </c>
      <c r="G25" t="s">
        <v>7</v>
      </c>
      <c r="H25" t="s">
        <v>11</v>
      </c>
      <c r="I25" t="s">
        <v>22</v>
      </c>
      <c r="J25" t="s">
        <v>26</v>
      </c>
      <c r="K25" t="str">
        <f t="shared" si="3"/>
        <v>.CSV</v>
      </c>
      <c r="L25" t="str">
        <f>IF(OR(E25=2007,E25=2008,E25=2022,E25=2023),CONCATENATE(G25,E25,H25,E25,I25,H25,E25,I25,J25,F25,K25),CONCATENATE(G25,E25,H25,E25,I25,J25,F25,K25))</f>
        <v>Raw Data/2013/FARS2013NationalCSV/PERSON.CSV</v>
      </c>
      <c r="M25" t="str">
        <f>CONCATENATE(LOWER(F25),E25," &lt;- ","read.csv(",CHAR(34),L25,CHAR(34),")")</f>
        <v>person2013 &lt;- read.csv("Raw Data/2013/FARS2013NationalCSV/PERSON.CSV")</v>
      </c>
    </row>
    <row r="26" spans="1:13" x14ac:dyDescent="0.25">
      <c r="A26" t="s">
        <v>24</v>
      </c>
      <c r="B26" t="str">
        <f t="shared" si="0"/>
        <v>person</v>
      </c>
      <c r="C26" t="str">
        <f t="shared" si="4"/>
        <v>Person</v>
      </c>
      <c r="D26" t="str">
        <f t="shared" si="5"/>
        <v>Person</v>
      </c>
      <c r="E26">
        <v>2014</v>
      </c>
      <c r="F26" s="1" t="str">
        <f t="shared" si="2"/>
        <v>PERSON</v>
      </c>
      <c r="G26" t="s">
        <v>7</v>
      </c>
      <c r="H26" t="s">
        <v>11</v>
      </c>
      <c r="I26" t="s">
        <v>22</v>
      </c>
      <c r="J26" t="s">
        <v>26</v>
      </c>
      <c r="K26" t="str">
        <f t="shared" si="3"/>
        <v>.CSV</v>
      </c>
      <c r="L26" t="str">
        <f>IF(OR(E26=2007,E26=2008,E26=2022,E26=2023),CONCATENATE(G26,E26,H26,E26,I26,H26,E26,I26,J26,F26,K26),CONCATENATE(G26,E26,H26,E26,I26,J26,F26,K26))</f>
        <v>Raw Data/2014/FARS2014NationalCSV/PERSON.CSV</v>
      </c>
      <c r="M26" t="str">
        <f>CONCATENATE(LOWER(F26),E26," &lt;- ","read.csv(",CHAR(34),L26,CHAR(34),")")</f>
        <v>person2014 &lt;- read.csv("Raw Data/2014/FARS2014NationalCSV/PERSON.CSV")</v>
      </c>
    </row>
    <row r="27" spans="1:13" x14ac:dyDescent="0.25">
      <c r="A27" t="s">
        <v>24</v>
      </c>
      <c r="B27" t="str">
        <f t="shared" si="0"/>
        <v>person</v>
      </c>
      <c r="C27" t="str">
        <f t="shared" si="4"/>
        <v>Person</v>
      </c>
      <c r="D27" t="str">
        <f t="shared" si="5"/>
        <v>Person</v>
      </c>
      <c r="E27" s="1">
        <v>2015</v>
      </c>
      <c r="F27" s="1" t="str">
        <f t="shared" si="2"/>
        <v>person</v>
      </c>
      <c r="G27" t="s">
        <v>7</v>
      </c>
      <c r="H27" t="s">
        <v>11</v>
      </c>
      <c r="I27" t="s">
        <v>22</v>
      </c>
      <c r="J27" t="s">
        <v>26</v>
      </c>
      <c r="K27" t="str">
        <f t="shared" si="3"/>
        <v>.CSV</v>
      </c>
      <c r="L27" t="str">
        <f>IF(OR(E27=2007,E27=2008,E27=2022,E27=2023),CONCATENATE(G27,E27,H27,E27,I27,H27,E27,I27,J27,F27,K27),CONCATENATE(G27,E27,H27,E27,I27,J27,F27,K27))</f>
        <v>Raw Data/2015/FARS2015NationalCSV/person.CSV</v>
      </c>
      <c r="M27" t="str">
        <f>CONCATENATE(LOWER(F27),E27," &lt;- ","read.csv(",CHAR(34),L27,CHAR(34),")")</f>
        <v>person2015 &lt;- read.csv("Raw Data/2015/FARS2015NationalCSV/person.CSV")</v>
      </c>
    </row>
    <row r="28" spans="1:13" x14ac:dyDescent="0.25">
      <c r="A28" t="s">
        <v>24</v>
      </c>
      <c r="B28" t="str">
        <f t="shared" si="0"/>
        <v>person</v>
      </c>
      <c r="C28" t="str">
        <f t="shared" si="4"/>
        <v>Person</v>
      </c>
      <c r="D28" t="str">
        <f t="shared" si="5"/>
        <v>Person</v>
      </c>
      <c r="E28">
        <v>2016</v>
      </c>
      <c r="F28" s="1" t="str">
        <f t="shared" si="2"/>
        <v>Person</v>
      </c>
      <c r="G28" t="s">
        <v>7</v>
      </c>
      <c r="H28" t="s">
        <v>11</v>
      </c>
      <c r="I28" t="s">
        <v>22</v>
      </c>
      <c r="J28" t="s">
        <v>26</v>
      </c>
      <c r="K28" t="str">
        <f t="shared" si="3"/>
        <v>.CSV</v>
      </c>
      <c r="L28" t="str">
        <f>IF(OR(E28=2007,E28=2008,E28=2022,E28=2023),CONCATENATE(G28,E28,H28,E28,I28,H28,E28,I28,J28,F28,K28),CONCATENATE(G28,E28,H28,E28,I28,J28,F28,K28))</f>
        <v>Raw Data/2016/FARS2016NationalCSV/Person.CSV</v>
      </c>
      <c r="M28" t="str">
        <f>CONCATENATE(LOWER(F28),E28," &lt;- ","read.csv(",CHAR(34),L28,CHAR(34),")")</f>
        <v>person2016 &lt;- read.csv("Raw Data/2016/FARS2016NationalCSV/Person.CSV")</v>
      </c>
    </row>
    <row r="29" spans="1:13" x14ac:dyDescent="0.25">
      <c r="A29" t="s">
        <v>24</v>
      </c>
      <c r="B29" t="str">
        <f t="shared" si="0"/>
        <v>person</v>
      </c>
      <c r="C29" t="str">
        <f t="shared" si="4"/>
        <v>Person</v>
      </c>
      <c r="D29" t="str">
        <f t="shared" si="5"/>
        <v>Person</v>
      </c>
      <c r="E29" s="1">
        <v>2017</v>
      </c>
      <c r="F29" s="1" t="str">
        <f t="shared" si="2"/>
        <v>Person</v>
      </c>
      <c r="G29" t="s">
        <v>7</v>
      </c>
      <c r="H29" t="s">
        <v>11</v>
      </c>
      <c r="I29" t="s">
        <v>22</v>
      </c>
      <c r="J29" t="s">
        <v>26</v>
      </c>
      <c r="K29" t="str">
        <f t="shared" si="3"/>
        <v>.CSV</v>
      </c>
      <c r="L29" t="str">
        <f>IF(OR(E29=2007,E29=2008,E29=2022,E29=2023),CONCATENATE(G29,E29,H29,E29,I29,H29,E29,I29,J29,F29,K29),CONCATENATE(G29,E29,H29,E29,I29,J29,F29,K29))</f>
        <v>Raw Data/2017/FARS2017NationalCSV/Person.CSV</v>
      </c>
      <c r="M29" t="str">
        <f>CONCATENATE(LOWER(F29),E29," &lt;- ","read.csv(",CHAR(34),L29,CHAR(34),")")</f>
        <v>person2017 &lt;- read.csv("Raw Data/2017/FARS2017NationalCSV/Person.CSV")</v>
      </c>
    </row>
    <row r="30" spans="1:13" x14ac:dyDescent="0.25">
      <c r="A30" t="s">
        <v>24</v>
      </c>
      <c r="B30" t="str">
        <f t="shared" si="0"/>
        <v>person</v>
      </c>
      <c r="C30" t="str">
        <f t="shared" si="4"/>
        <v>Person</v>
      </c>
      <c r="D30" t="str">
        <f t="shared" si="5"/>
        <v>Person</v>
      </c>
      <c r="E30">
        <v>2018</v>
      </c>
      <c r="F30" s="1" t="str">
        <f t="shared" si="2"/>
        <v>person</v>
      </c>
      <c r="G30" t="s">
        <v>7</v>
      </c>
      <c r="H30" t="s">
        <v>11</v>
      </c>
      <c r="I30" t="s">
        <v>22</v>
      </c>
      <c r="J30" t="s">
        <v>26</v>
      </c>
      <c r="K30" t="str">
        <f t="shared" si="3"/>
        <v>.CSV</v>
      </c>
      <c r="L30" t="str">
        <f>IF(OR(E30=2007,E30=2008,E30=2022,E30=2023),CONCATENATE(G30,E30,H30,E30,I30,H30,E30,I30,J30,F30,K30),CONCATENATE(G30,E30,H30,E30,I30,J30,F30,K30))</f>
        <v>Raw Data/2018/FARS2018NationalCSV/person.CSV</v>
      </c>
      <c r="M30" t="str">
        <f>CONCATENATE(LOWER(F30),E30," &lt;- ","read.csv(",CHAR(34),L30,CHAR(34),")")</f>
        <v>person2018 &lt;- read.csv("Raw Data/2018/FARS2018NationalCSV/person.CSV")</v>
      </c>
    </row>
    <row r="31" spans="1:13" x14ac:dyDescent="0.25">
      <c r="A31" t="s">
        <v>24</v>
      </c>
      <c r="B31" t="str">
        <f t="shared" si="0"/>
        <v>person</v>
      </c>
      <c r="C31" t="str">
        <f t="shared" si="4"/>
        <v>Person</v>
      </c>
      <c r="D31" t="str">
        <f t="shared" si="5"/>
        <v>Person</v>
      </c>
      <c r="E31" s="1">
        <v>2019</v>
      </c>
      <c r="F31" s="1" t="str">
        <f t="shared" si="2"/>
        <v>Person</v>
      </c>
      <c r="G31" t="s">
        <v>7</v>
      </c>
      <c r="H31" t="s">
        <v>11</v>
      </c>
      <c r="I31" t="s">
        <v>22</v>
      </c>
      <c r="J31" t="s">
        <v>26</v>
      </c>
      <c r="K31" t="str">
        <f t="shared" si="3"/>
        <v>.CSV</v>
      </c>
      <c r="L31" t="str">
        <f>IF(OR(E31=2007,E31=2008,E31=2022,E31=2023),CONCATENATE(G31,E31,H31,E31,I31,H31,E31,I31,J31,F31,K31),CONCATENATE(G31,E31,H31,E31,I31,J31,F31,K31))</f>
        <v>Raw Data/2019/FARS2019NationalCSV/Person.CSV</v>
      </c>
      <c r="M31" t="str">
        <f>CONCATENATE(LOWER(F31),E31," &lt;- ","read.csv(",CHAR(34),L31,CHAR(34),")")</f>
        <v>person2019 &lt;- read.csv("Raw Data/2019/FARS2019NationalCSV/Person.CSV")</v>
      </c>
    </row>
    <row r="32" spans="1:13" x14ac:dyDescent="0.25">
      <c r="A32" t="s">
        <v>24</v>
      </c>
      <c r="B32" t="str">
        <f t="shared" si="0"/>
        <v>person</v>
      </c>
      <c r="C32" t="str">
        <f t="shared" si="4"/>
        <v>Person</v>
      </c>
      <c r="D32" t="str">
        <f t="shared" si="5"/>
        <v>Person</v>
      </c>
      <c r="E32">
        <v>2020</v>
      </c>
      <c r="F32" s="1" t="str">
        <f t="shared" si="2"/>
        <v>person</v>
      </c>
      <c r="G32" t="s">
        <v>7</v>
      </c>
      <c r="H32" t="s">
        <v>11</v>
      </c>
      <c r="I32" t="s">
        <v>22</v>
      </c>
      <c r="J32" t="s">
        <v>26</v>
      </c>
      <c r="K32" t="str">
        <f t="shared" si="3"/>
        <v>.CSV</v>
      </c>
      <c r="L32" t="str">
        <f>IF(OR(E32=2007,E32=2008,E32=2022,E32=2023),CONCATENATE(G32,E32,H32,E32,I32,H32,E32,I32,J32,F32,K32),CONCATENATE(G32,E32,H32,E32,I32,J32,F32,K32))</f>
        <v>Raw Data/2020/FARS2020NationalCSV/person.CSV</v>
      </c>
      <c r="M32" t="str">
        <f>CONCATENATE(LOWER(F32),E32," &lt;- ","read.csv(",CHAR(34),L32,CHAR(34),")")</f>
        <v>person2020 &lt;- read.csv("Raw Data/2020/FARS2020NationalCSV/person.CSV")</v>
      </c>
    </row>
    <row r="33" spans="1:13" x14ac:dyDescent="0.25">
      <c r="A33" t="s">
        <v>24</v>
      </c>
      <c r="B33" t="str">
        <f t="shared" si="0"/>
        <v>person</v>
      </c>
      <c r="C33" t="str">
        <f t="shared" si="4"/>
        <v>Person</v>
      </c>
      <c r="D33" t="str">
        <f t="shared" si="5"/>
        <v>Person</v>
      </c>
      <c r="E33" s="1">
        <v>2021</v>
      </c>
      <c r="F33" s="1" t="str">
        <f t="shared" si="2"/>
        <v>person</v>
      </c>
      <c r="G33" t="s">
        <v>7</v>
      </c>
      <c r="H33" t="s">
        <v>11</v>
      </c>
      <c r="I33" t="s">
        <v>22</v>
      </c>
      <c r="J33" t="s">
        <v>26</v>
      </c>
      <c r="K33" t="str">
        <f t="shared" si="3"/>
        <v>.CSV</v>
      </c>
      <c r="L33" t="str">
        <f>IF(OR(E33=2007,E33=2008,E33=2022,E33=2023),CONCATENATE(G33,E33,H33,E33,I33,H33,E33,I33,J33,F33,K33),CONCATENATE(G33,E33,H33,E33,I33,J33,F33,K33))</f>
        <v>Raw Data/2021/FARS2021NationalCSV/person.CSV</v>
      </c>
      <c r="M33" t="str">
        <f>CONCATENATE(LOWER(F33),E33," &lt;- ","read.csv(",CHAR(34),L33,CHAR(34),")")</f>
        <v>person2021 &lt;- read.csv("Raw Data/2021/FARS2021NationalCSV/person.CSV")</v>
      </c>
    </row>
    <row r="34" spans="1:13" x14ac:dyDescent="0.25">
      <c r="A34" t="s">
        <v>24</v>
      </c>
      <c r="B34" t="str">
        <f t="shared" si="0"/>
        <v>person</v>
      </c>
      <c r="C34" t="str">
        <f t="shared" si="4"/>
        <v>Person</v>
      </c>
      <c r="D34" t="str">
        <f t="shared" si="5"/>
        <v>Person</v>
      </c>
      <c r="E34">
        <v>2022</v>
      </c>
      <c r="F34" s="1" t="str">
        <f t="shared" si="2"/>
        <v>person</v>
      </c>
      <c r="G34" t="s">
        <v>7</v>
      </c>
      <c r="H34" t="s">
        <v>11</v>
      </c>
      <c r="I34" t="s">
        <v>22</v>
      </c>
      <c r="J34" t="s">
        <v>26</v>
      </c>
      <c r="K34" t="str">
        <f t="shared" si="3"/>
        <v>.csv</v>
      </c>
      <c r="L34" t="str">
        <f>IF(OR(E34=2007,E34=2008,E34=2022,E34=2023),CONCATENATE(G34,E34,H34,E34,I34,H34,E34,I34,J34,F34,K34),CONCATENATE(G34,E34,H34,E34,I34,J34,F34,K34))</f>
        <v>Raw Data/2022/FARS2022NationalCSV/FARS2022NationalCSV/person.csv</v>
      </c>
      <c r="M34" t="str">
        <f>CONCATENATE(LOWER(F34),E34," &lt;- ","read.csv(",CHAR(34),L34,CHAR(34),")")</f>
        <v>person2022 &lt;- read.csv("Raw Data/2022/FARS2022NationalCSV/FARS2022NationalCSV/person.csv")</v>
      </c>
    </row>
    <row r="35" spans="1:13" x14ac:dyDescent="0.25">
      <c r="A35" t="s">
        <v>24</v>
      </c>
      <c r="B35" t="str">
        <f t="shared" si="0"/>
        <v>person</v>
      </c>
      <c r="C35" t="str">
        <f t="shared" si="4"/>
        <v>Person</v>
      </c>
      <c r="D35" t="str">
        <f t="shared" si="5"/>
        <v>Person</v>
      </c>
      <c r="E35">
        <v>2023</v>
      </c>
      <c r="F35" s="1" t="str">
        <f t="shared" si="2"/>
        <v>person</v>
      </c>
      <c r="G35" t="s">
        <v>7</v>
      </c>
      <c r="H35" t="s">
        <v>11</v>
      </c>
      <c r="I35" t="s">
        <v>22</v>
      </c>
      <c r="J35" t="s">
        <v>26</v>
      </c>
      <c r="K35" t="str">
        <f t="shared" si="3"/>
        <v>.csv</v>
      </c>
      <c r="L35" t="str">
        <f>IF(OR(E35=2007,E35=2008,E35=2022,E35=2023),CONCATENATE(G35,E35,H35,E35,I35,H35,E35,I35,J35,F35,K35),CONCATENATE(G35,E35,H35,E35,I35,J35,F35,K35))</f>
        <v>Raw Data/2023/FARS2023NationalCSV/FARS2023NationalCSV/person.csv</v>
      </c>
      <c r="M35" t="str">
        <f>CONCATENATE(LOWER(F35),E35," &lt;- ","read.csv(",CHAR(34),L35,CHAR(34),")")</f>
        <v>person2023 &lt;- read.csv("Raw Data/2023/FARS2023NationalCSV/FARS2023NationalCSV/person.csv")</v>
      </c>
    </row>
    <row r="36" spans="1:13" x14ac:dyDescent="0.25">
      <c r="A36" t="s">
        <v>25</v>
      </c>
      <c r="B36" t="str">
        <f t="shared" si="0"/>
        <v>vehicle</v>
      </c>
      <c r="C36" t="str">
        <f t="shared" si="4"/>
        <v>Vehicle</v>
      </c>
      <c r="D36" t="str">
        <f>LOWER(A36)</f>
        <v>vehicle</v>
      </c>
      <c r="E36" s="1">
        <v>2007</v>
      </c>
      <c r="F36" s="1" t="str">
        <f t="shared" si="2"/>
        <v>VEHICLE</v>
      </c>
      <c r="G36" t="s">
        <v>7</v>
      </c>
      <c r="H36" t="s">
        <v>11</v>
      </c>
      <c r="I36" t="s">
        <v>22</v>
      </c>
      <c r="J36" t="s">
        <v>26</v>
      </c>
      <c r="K36" t="str">
        <f t="shared" si="3"/>
        <v>.CSV</v>
      </c>
      <c r="L36" t="str">
        <f>IF(OR(E36=2007,E36=2008,E36=2022,E36=2023),CONCATENATE(G36,E36,H36,E36,I36,H36,E36,I36,J36,F36,K36),CONCATENATE(G36,E36,H36,E36,I36,J36,F36,K36))</f>
        <v>Raw Data/2007/FARS2007NationalCSV/FARS2007NationalCSV/VEHICLE.CSV</v>
      </c>
      <c r="M36" t="str">
        <f>CONCATENATE(LOWER(F36),E36," &lt;- ","read.csv(",CHAR(34),L36,CHAR(34),")")</f>
        <v>vehicle2007 &lt;- read.csv("Raw Data/2007/FARS2007NationalCSV/FARS2007NationalCSV/VEHICLE.CSV")</v>
      </c>
    </row>
    <row r="37" spans="1:13" x14ac:dyDescent="0.25">
      <c r="A37" t="s">
        <v>25</v>
      </c>
      <c r="B37" t="str">
        <f t="shared" si="0"/>
        <v>vehicle</v>
      </c>
      <c r="C37" t="str">
        <f t="shared" si="4"/>
        <v>Vehicle</v>
      </c>
      <c r="D37" t="str">
        <f t="shared" ref="D37:D52" si="6">LOWER(A37)</f>
        <v>vehicle</v>
      </c>
      <c r="E37">
        <v>2008</v>
      </c>
      <c r="F37" s="1" t="str">
        <f t="shared" si="2"/>
        <v>VEHICLE</v>
      </c>
      <c r="G37" t="s">
        <v>7</v>
      </c>
      <c r="H37" t="s">
        <v>11</v>
      </c>
      <c r="I37" t="s">
        <v>22</v>
      </c>
      <c r="J37" t="s">
        <v>26</v>
      </c>
      <c r="K37" t="str">
        <f t="shared" si="3"/>
        <v>.CSV</v>
      </c>
      <c r="L37" t="str">
        <f>IF(OR(E37=2007,E37=2008,E37=2022,E37=2023),CONCATENATE(G37,E37,H37,E37,I37,H37,E37,I37,J37,F37,K37),CONCATENATE(G37,E37,H37,E37,I37,J37,F37,K37))</f>
        <v>Raw Data/2008/FARS2008NationalCSV/FARS2008NationalCSV/VEHICLE.CSV</v>
      </c>
      <c r="M37" t="str">
        <f>CONCATENATE(LOWER(F37),E37," &lt;- ","read.csv(",CHAR(34),L37,CHAR(34),")")</f>
        <v>vehicle2008 &lt;- read.csv("Raw Data/2008/FARS2008NationalCSV/FARS2008NationalCSV/VEHICLE.CSV")</v>
      </c>
    </row>
    <row r="38" spans="1:13" x14ac:dyDescent="0.25">
      <c r="A38" t="s">
        <v>25</v>
      </c>
      <c r="B38" t="str">
        <f t="shared" si="0"/>
        <v>vehicle</v>
      </c>
      <c r="C38" t="str">
        <f t="shared" si="4"/>
        <v>Vehicle</v>
      </c>
      <c r="D38" t="str">
        <f t="shared" si="6"/>
        <v>vehicle</v>
      </c>
      <c r="E38" s="1">
        <v>2009</v>
      </c>
      <c r="F38" s="1" t="str">
        <f t="shared" si="2"/>
        <v>VEHICLE</v>
      </c>
      <c r="G38" t="s">
        <v>7</v>
      </c>
      <c r="H38" t="s">
        <v>11</v>
      </c>
      <c r="I38" t="s">
        <v>22</v>
      </c>
      <c r="J38" t="s">
        <v>26</v>
      </c>
      <c r="K38" t="str">
        <f t="shared" si="3"/>
        <v>.CSV</v>
      </c>
      <c r="L38" t="str">
        <f>IF(OR(E38=2007,E38=2008,E38=2022,E38=2023),CONCATENATE(G38,E38,H38,E38,I38,H38,E38,I38,J38,F38,K38),CONCATENATE(G38,E38,H38,E38,I38,J38,F38,K38))</f>
        <v>Raw Data/2009/FARS2009NationalCSV/VEHICLE.CSV</v>
      </c>
      <c r="M38" t="str">
        <f>CONCATENATE(LOWER(F38),E38," &lt;- ","read.csv(",CHAR(34),L38,CHAR(34),")")</f>
        <v>vehicle2009 &lt;- read.csv("Raw Data/2009/FARS2009NationalCSV/VEHICLE.CSV")</v>
      </c>
    </row>
    <row r="39" spans="1:13" x14ac:dyDescent="0.25">
      <c r="A39" t="s">
        <v>25</v>
      </c>
      <c r="B39" t="str">
        <f t="shared" si="0"/>
        <v>vehicle</v>
      </c>
      <c r="C39" t="str">
        <f t="shared" si="4"/>
        <v>Vehicle</v>
      </c>
      <c r="D39" t="str">
        <f t="shared" si="6"/>
        <v>vehicle</v>
      </c>
      <c r="E39">
        <v>2010</v>
      </c>
      <c r="F39" s="1" t="str">
        <f t="shared" si="2"/>
        <v>VEHICLE</v>
      </c>
      <c r="G39" t="s">
        <v>7</v>
      </c>
      <c r="H39" t="s">
        <v>11</v>
      </c>
      <c r="I39" t="s">
        <v>22</v>
      </c>
      <c r="J39" t="s">
        <v>26</v>
      </c>
      <c r="K39" t="str">
        <f t="shared" si="3"/>
        <v>.CSV</v>
      </c>
      <c r="L39" t="str">
        <f>IF(OR(E39=2007,E39=2008,E39=2022,E39=2023),CONCATENATE(G39,E39,H39,E39,I39,H39,E39,I39,J39,F39,K39),CONCATENATE(G39,E39,H39,E39,I39,J39,F39,K39))</f>
        <v>Raw Data/2010/FARS2010NationalCSV/VEHICLE.CSV</v>
      </c>
      <c r="M39" t="str">
        <f>CONCATENATE(LOWER(F39),E39," &lt;- ","read.csv(",CHAR(34),L39,CHAR(34),")")</f>
        <v>vehicle2010 &lt;- read.csv("Raw Data/2010/FARS2010NationalCSV/VEHICLE.CSV")</v>
      </c>
    </row>
    <row r="40" spans="1:13" x14ac:dyDescent="0.25">
      <c r="A40" t="s">
        <v>25</v>
      </c>
      <c r="B40" t="str">
        <f t="shared" si="0"/>
        <v>vehicle</v>
      </c>
      <c r="C40" t="str">
        <f t="shared" si="4"/>
        <v>Vehicle</v>
      </c>
      <c r="D40" t="str">
        <f t="shared" si="6"/>
        <v>vehicle</v>
      </c>
      <c r="E40" s="1">
        <v>2011</v>
      </c>
      <c r="F40" s="1" t="str">
        <f t="shared" si="2"/>
        <v>VEHICLE</v>
      </c>
      <c r="G40" t="s">
        <v>7</v>
      </c>
      <c r="H40" t="s">
        <v>11</v>
      </c>
      <c r="I40" t="s">
        <v>22</v>
      </c>
      <c r="J40" t="s">
        <v>26</v>
      </c>
      <c r="K40" t="str">
        <f t="shared" si="3"/>
        <v>.CSV</v>
      </c>
      <c r="L40" t="str">
        <f>IF(OR(E40=2007,E40=2008,E40=2022,E40=2023),CONCATENATE(G40,E40,H40,E40,I40,H40,E40,I40,J40,F40,K40),CONCATENATE(G40,E40,H40,E40,I40,J40,F40,K40))</f>
        <v>Raw Data/2011/FARS2011NationalCSV/VEHICLE.CSV</v>
      </c>
      <c r="M40" t="str">
        <f>CONCATENATE(LOWER(F40),E40," &lt;- ","read.csv(",CHAR(34),L40,CHAR(34),")")</f>
        <v>vehicle2011 &lt;- read.csv("Raw Data/2011/FARS2011NationalCSV/VEHICLE.CSV")</v>
      </c>
    </row>
    <row r="41" spans="1:13" x14ac:dyDescent="0.25">
      <c r="A41" t="s">
        <v>25</v>
      </c>
      <c r="B41" t="str">
        <f t="shared" si="0"/>
        <v>vehicle</v>
      </c>
      <c r="C41" t="str">
        <f t="shared" si="4"/>
        <v>Vehicle</v>
      </c>
      <c r="D41" t="str">
        <f t="shared" si="6"/>
        <v>vehicle</v>
      </c>
      <c r="E41">
        <v>2012</v>
      </c>
      <c r="F41" s="1" t="str">
        <f t="shared" si="2"/>
        <v>VEHICLE</v>
      </c>
      <c r="G41" t="s">
        <v>7</v>
      </c>
      <c r="H41" t="s">
        <v>11</v>
      </c>
      <c r="I41" t="s">
        <v>22</v>
      </c>
      <c r="J41" t="s">
        <v>26</v>
      </c>
      <c r="K41" t="str">
        <f t="shared" si="3"/>
        <v>.CSV</v>
      </c>
      <c r="L41" t="str">
        <f>IF(OR(E41=2007,E41=2008,E41=2022,E41=2023),CONCATENATE(G41,E41,H41,E41,I41,H41,E41,I41,J41,F41,K41),CONCATENATE(G41,E41,H41,E41,I41,J41,F41,K41))</f>
        <v>Raw Data/2012/FARS2012NationalCSV/VEHICLE.CSV</v>
      </c>
      <c r="M41" t="str">
        <f>CONCATENATE(LOWER(F41),E41," &lt;- ","read.csv(",CHAR(34),L41,CHAR(34),")")</f>
        <v>vehicle2012 &lt;- read.csv("Raw Data/2012/FARS2012NationalCSV/VEHICLE.CSV")</v>
      </c>
    </row>
    <row r="42" spans="1:13" x14ac:dyDescent="0.25">
      <c r="A42" t="s">
        <v>25</v>
      </c>
      <c r="B42" t="str">
        <f t="shared" si="0"/>
        <v>vehicle</v>
      </c>
      <c r="C42" t="str">
        <f t="shared" si="4"/>
        <v>Vehicle</v>
      </c>
      <c r="D42" t="str">
        <f t="shared" si="6"/>
        <v>vehicle</v>
      </c>
      <c r="E42" s="1">
        <v>2013</v>
      </c>
      <c r="F42" s="1" t="str">
        <f t="shared" si="2"/>
        <v>VEHICLE</v>
      </c>
      <c r="G42" t="s">
        <v>7</v>
      </c>
      <c r="H42" t="s">
        <v>11</v>
      </c>
      <c r="I42" t="s">
        <v>22</v>
      </c>
      <c r="J42" t="s">
        <v>26</v>
      </c>
      <c r="K42" t="str">
        <f t="shared" si="3"/>
        <v>.CSV</v>
      </c>
      <c r="L42" t="str">
        <f>IF(OR(E42=2007,E42=2008,E42=2022,E42=2023),CONCATENATE(G42,E42,H42,E42,I42,H42,E42,I42,J42,F42,K42),CONCATENATE(G42,E42,H42,E42,I42,J42,F42,K42))</f>
        <v>Raw Data/2013/FARS2013NationalCSV/VEHICLE.CSV</v>
      </c>
      <c r="M42" t="str">
        <f>CONCATENATE(LOWER(F42),E42," &lt;- ","read.csv(",CHAR(34),L42,CHAR(34),")")</f>
        <v>vehicle2013 &lt;- read.csv("Raw Data/2013/FARS2013NationalCSV/VEHICLE.CSV")</v>
      </c>
    </row>
    <row r="43" spans="1:13" x14ac:dyDescent="0.25">
      <c r="A43" t="s">
        <v>25</v>
      </c>
      <c r="B43" t="str">
        <f t="shared" si="0"/>
        <v>vehicle</v>
      </c>
      <c r="C43" t="str">
        <f t="shared" si="4"/>
        <v>Vehicle</v>
      </c>
      <c r="D43" t="str">
        <f t="shared" si="6"/>
        <v>vehicle</v>
      </c>
      <c r="E43">
        <v>2014</v>
      </c>
      <c r="F43" s="1" t="str">
        <f t="shared" si="2"/>
        <v>VEHICLE</v>
      </c>
      <c r="G43" t="s">
        <v>7</v>
      </c>
      <c r="H43" t="s">
        <v>11</v>
      </c>
      <c r="I43" t="s">
        <v>22</v>
      </c>
      <c r="J43" t="s">
        <v>26</v>
      </c>
      <c r="K43" t="str">
        <f t="shared" si="3"/>
        <v>.CSV</v>
      </c>
      <c r="L43" t="str">
        <f>IF(OR(E43=2007,E43=2008,E43=2022,E43=2023),CONCATENATE(G43,E43,H43,E43,I43,H43,E43,I43,J43,F43,K43),CONCATENATE(G43,E43,H43,E43,I43,J43,F43,K43))</f>
        <v>Raw Data/2014/FARS2014NationalCSV/VEHICLE.CSV</v>
      </c>
      <c r="M43" t="str">
        <f>CONCATENATE(LOWER(F43),E43," &lt;- ","read.csv(",CHAR(34),L43,CHAR(34),")")</f>
        <v>vehicle2014 &lt;- read.csv("Raw Data/2014/FARS2014NationalCSV/VEHICLE.CSV")</v>
      </c>
    </row>
    <row r="44" spans="1:13" x14ac:dyDescent="0.25">
      <c r="A44" t="s">
        <v>25</v>
      </c>
      <c r="B44" t="str">
        <f t="shared" si="0"/>
        <v>vehicle</v>
      </c>
      <c r="C44" t="str">
        <f t="shared" si="4"/>
        <v>Vehicle</v>
      </c>
      <c r="D44" t="str">
        <f t="shared" si="6"/>
        <v>vehicle</v>
      </c>
      <c r="E44" s="1">
        <v>2015</v>
      </c>
      <c r="F44" s="1" t="str">
        <f t="shared" si="2"/>
        <v>vehicle</v>
      </c>
      <c r="G44" t="s">
        <v>7</v>
      </c>
      <c r="H44" t="s">
        <v>11</v>
      </c>
      <c r="I44" t="s">
        <v>22</v>
      </c>
      <c r="J44" t="s">
        <v>26</v>
      </c>
      <c r="K44" t="str">
        <f t="shared" si="3"/>
        <v>.CSV</v>
      </c>
      <c r="L44" t="str">
        <f>IF(OR(E44=2007,E44=2008,E44=2022,E44=2023),CONCATENATE(G44,E44,H44,E44,I44,H44,E44,I44,J44,F44,K44),CONCATENATE(G44,E44,H44,E44,I44,J44,F44,K44))</f>
        <v>Raw Data/2015/FARS2015NationalCSV/vehicle.CSV</v>
      </c>
      <c r="M44" t="str">
        <f>CONCATENATE(LOWER(F44),E44," &lt;- ","read.csv(",CHAR(34),L44,CHAR(34),")")</f>
        <v>vehicle2015 &lt;- read.csv("Raw Data/2015/FARS2015NationalCSV/vehicle.CSV")</v>
      </c>
    </row>
    <row r="45" spans="1:13" x14ac:dyDescent="0.25">
      <c r="A45" t="s">
        <v>25</v>
      </c>
      <c r="B45" t="str">
        <f t="shared" si="0"/>
        <v>vehicle</v>
      </c>
      <c r="C45" t="str">
        <f t="shared" si="4"/>
        <v>Vehicle</v>
      </c>
      <c r="D45" t="str">
        <f t="shared" si="6"/>
        <v>vehicle</v>
      </c>
      <c r="E45">
        <v>2016</v>
      </c>
      <c r="F45" s="1" t="str">
        <f t="shared" si="2"/>
        <v>Vehicle</v>
      </c>
      <c r="G45" t="s">
        <v>7</v>
      </c>
      <c r="H45" t="s">
        <v>11</v>
      </c>
      <c r="I45" t="s">
        <v>22</v>
      </c>
      <c r="J45" t="s">
        <v>26</v>
      </c>
      <c r="K45" t="str">
        <f t="shared" si="3"/>
        <v>.CSV</v>
      </c>
      <c r="L45" t="str">
        <f>IF(OR(E45=2007,E45=2008,E45=2022,E45=2023),CONCATENATE(G45,E45,H45,E45,I45,H45,E45,I45,J45,F45,K45),CONCATENATE(G45,E45,H45,E45,I45,J45,F45,K45))</f>
        <v>Raw Data/2016/FARS2016NationalCSV/Vehicle.CSV</v>
      </c>
      <c r="M45" t="str">
        <f>CONCATENATE(LOWER(F45),E45," &lt;- ","read.csv(",CHAR(34),L45,CHAR(34),")")</f>
        <v>vehicle2016 &lt;- read.csv("Raw Data/2016/FARS2016NationalCSV/Vehicle.CSV")</v>
      </c>
    </row>
    <row r="46" spans="1:13" x14ac:dyDescent="0.25">
      <c r="A46" t="s">
        <v>25</v>
      </c>
      <c r="B46" t="str">
        <f t="shared" si="0"/>
        <v>vehicle</v>
      </c>
      <c r="C46" t="str">
        <f t="shared" si="4"/>
        <v>Vehicle</v>
      </c>
      <c r="D46" t="str">
        <f t="shared" si="6"/>
        <v>vehicle</v>
      </c>
      <c r="E46" s="1">
        <v>2017</v>
      </c>
      <c r="F46" s="1" t="str">
        <f t="shared" si="2"/>
        <v>Vehicle</v>
      </c>
      <c r="G46" t="s">
        <v>7</v>
      </c>
      <c r="H46" t="s">
        <v>11</v>
      </c>
      <c r="I46" t="s">
        <v>22</v>
      </c>
      <c r="J46" t="s">
        <v>26</v>
      </c>
      <c r="K46" t="str">
        <f t="shared" si="3"/>
        <v>.CSV</v>
      </c>
      <c r="L46" t="str">
        <f>IF(OR(E46=2007,E46=2008,E46=2022,E46=2023),CONCATENATE(G46,E46,H46,E46,I46,H46,E46,I46,J46,F46,K46),CONCATENATE(G46,E46,H46,E46,I46,J46,F46,K46))</f>
        <v>Raw Data/2017/FARS2017NationalCSV/Vehicle.CSV</v>
      </c>
      <c r="M46" t="str">
        <f>CONCATENATE(LOWER(F46),E46," &lt;- ","read.csv(",CHAR(34),L46,CHAR(34),")")</f>
        <v>vehicle2017 &lt;- read.csv("Raw Data/2017/FARS2017NationalCSV/Vehicle.CSV")</v>
      </c>
    </row>
    <row r="47" spans="1:13" x14ac:dyDescent="0.25">
      <c r="A47" t="s">
        <v>25</v>
      </c>
      <c r="B47" t="str">
        <f t="shared" si="0"/>
        <v>vehicle</v>
      </c>
      <c r="C47" t="str">
        <f t="shared" si="4"/>
        <v>Vehicle</v>
      </c>
      <c r="D47" t="str">
        <f t="shared" si="6"/>
        <v>vehicle</v>
      </c>
      <c r="E47">
        <v>2018</v>
      </c>
      <c r="F47" s="1" t="str">
        <f t="shared" si="2"/>
        <v>vehicle</v>
      </c>
      <c r="G47" t="s">
        <v>7</v>
      </c>
      <c r="H47" t="s">
        <v>11</v>
      </c>
      <c r="I47" t="s">
        <v>22</v>
      </c>
      <c r="J47" t="s">
        <v>26</v>
      </c>
      <c r="K47" t="str">
        <f t="shared" si="3"/>
        <v>.CSV</v>
      </c>
      <c r="L47" t="str">
        <f>IF(OR(E47=2007,E47=2008,E47=2022,E47=2023),CONCATENATE(G47,E47,H47,E47,I47,H47,E47,I47,J47,F47,K47),CONCATENATE(G47,E47,H47,E47,I47,J47,F47,K47))</f>
        <v>Raw Data/2018/FARS2018NationalCSV/vehicle.CSV</v>
      </c>
      <c r="M47" t="str">
        <f>CONCATENATE(LOWER(F47),E47," &lt;- ","read.csv(",CHAR(34),L47,CHAR(34),")")</f>
        <v>vehicle2018 &lt;- read.csv("Raw Data/2018/FARS2018NationalCSV/vehicle.CSV")</v>
      </c>
    </row>
    <row r="48" spans="1:13" x14ac:dyDescent="0.25">
      <c r="A48" t="s">
        <v>25</v>
      </c>
      <c r="B48" t="str">
        <f t="shared" si="0"/>
        <v>vehicle</v>
      </c>
      <c r="C48" t="str">
        <f t="shared" si="4"/>
        <v>Vehicle</v>
      </c>
      <c r="D48" t="str">
        <f t="shared" si="6"/>
        <v>vehicle</v>
      </c>
      <c r="E48" s="1">
        <v>2019</v>
      </c>
      <c r="F48" s="1" t="str">
        <f t="shared" si="2"/>
        <v>vehicle</v>
      </c>
      <c r="G48" t="s">
        <v>7</v>
      </c>
      <c r="H48" t="s">
        <v>11</v>
      </c>
      <c r="I48" t="s">
        <v>22</v>
      </c>
      <c r="J48" t="s">
        <v>26</v>
      </c>
      <c r="K48" t="str">
        <f t="shared" si="3"/>
        <v>.CSV</v>
      </c>
      <c r="L48" t="str">
        <f>IF(OR(E48=2007,E48=2008,E48=2022,E48=2023),CONCATENATE(G48,E48,H48,E48,I48,H48,E48,I48,J48,F48,K48),CONCATENATE(G48,E48,H48,E48,I48,J48,F48,K48))</f>
        <v>Raw Data/2019/FARS2019NationalCSV/vehicle.CSV</v>
      </c>
      <c r="M48" t="str">
        <f>CONCATENATE(LOWER(F48),E48," &lt;- ","read.csv(",CHAR(34),L48,CHAR(34),")")</f>
        <v>vehicle2019 &lt;- read.csv("Raw Data/2019/FARS2019NationalCSV/vehicle.CSV")</v>
      </c>
    </row>
    <row r="49" spans="1:13" x14ac:dyDescent="0.25">
      <c r="A49" t="s">
        <v>25</v>
      </c>
      <c r="B49" t="str">
        <f t="shared" si="0"/>
        <v>vehicle</v>
      </c>
      <c r="C49" t="str">
        <f t="shared" si="4"/>
        <v>Vehicle</v>
      </c>
      <c r="D49" t="str">
        <f t="shared" si="6"/>
        <v>vehicle</v>
      </c>
      <c r="E49">
        <v>2020</v>
      </c>
      <c r="F49" s="1" t="str">
        <f t="shared" si="2"/>
        <v>vehicle</v>
      </c>
      <c r="G49" t="s">
        <v>7</v>
      </c>
      <c r="H49" t="s">
        <v>11</v>
      </c>
      <c r="I49" t="s">
        <v>22</v>
      </c>
      <c r="J49" t="s">
        <v>26</v>
      </c>
      <c r="K49" t="str">
        <f t="shared" si="3"/>
        <v>.CSV</v>
      </c>
      <c r="L49" t="str">
        <f>IF(OR(E49=2007,E49=2008,E49=2022,E49=2023),CONCATENATE(G49,E49,H49,E49,I49,H49,E49,I49,J49,F49,K49),CONCATENATE(G49,E49,H49,E49,I49,J49,F49,K49))</f>
        <v>Raw Data/2020/FARS2020NationalCSV/vehicle.CSV</v>
      </c>
      <c r="M49" t="str">
        <f>CONCATENATE(LOWER(F49),E49," &lt;- ","read.csv(",CHAR(34),L49,CHAR(34),")")</f>
        <v>vehicle2020 &lt;- read.csv("Raw Data/2020/FARS2020NationalCSV/vehicle.CSV")</v>
      </c>
    </row>
    <row r="50" spans="1:13" x14ac:dyDescent="0.25">
      <c r="A50" t="s">
        <v>25</v>
      </c>
      <c r="B50" t="str">
        <f t="shared" si="0"/>
        <v>vehicle</v>
      </c>
      <c r="C50" t="str">
        <f t="shared" si="4"/>
        <v>Vehicle</v>
      </c>
      <c r="D50" t="str">
        <f t="shared" si="6"/>
        <v>vehicle</v>
      </c>
      <c r="E50" s="1">
        <v>2021</v>
      </c>
      <c r="F50" s="1" t="str">
        <f t="shared" si="2"/>
        <v>vehicle</v>
      </c>
      <c r="G50" t="s">
        <v>7</v>
      </c>
      <c r="H50" t="s">
        <v>11</v>
      </c>
      <c r="I50" t="s">
        <v>22</v>
      </c>
      <c r="J50" t="s">
        <v>26</v>
      </c>
      <c r="K50" t="str">
        <f t="shared" si="3"/>
        <v>.CSV</v>
      </c>
      <c r="L50" t="str">
        <f>IF(OR(E50=2007,E50=2008,E50=2022,E50=2023),CONCATENATE(G50,E50,H50,E50,I50,H50,E50,I50,J50,F50,K50),CONCATENATE(G50,E50,H50,E50,I50,J50,F50,K50))</f>
        <v>Raw Data/2021/FARS2021NationalCSV/vehicle.CSV</v>
      </c>
      <c r="M50" t="str">
        <f>CONCATENATE(LOWER(F50),E50," &lt;- ","read.csv(",CHAR(34),L50,CHAR(34),")")</f>
        <v>vehicle2021 &lt;- read.csv("Raw Data/2021/FARS2021NationalCSV/vehicle.CSV")</v>
      </c>
    </row>
    <row r="51" spans="1:13" x14ac:dyDescent="0.25">
      <c r="A51" t="s">
        <v>25</v>
      </c>
      <c r="B51" t="str">
        <f t="shared" si="0"/>
        <v>vehicle</v>
      </c>
      <c r="C51" t="str">
        <f t="shared" si="4"/>
        <v>Vehicle</v>
      </c>
      <c r="D51" t="str">
        <f t="shared" si="6"/>
        <v>vehicle</v>
      </c>
      <c r="E51">
        <v>2022</v>
      </c>
      <c r="F51" s="1" t="str">
        <f t="shared" si="2"/>
        <v>vehicle</v>
      </c>
      <c r="G51" t="s">
        <v>7</v>
      </c>
      <c r="H51" t="s">
        <v>11</v>
      </c>
      <c r="I51" t="s">
        <v>22</v>
      </c>
      <c r="J51" t="s">
        <v>26</v>
      </c>
      <c r="K51" t="str">
        <f t="shared" si="3"/>
        <v>.csv</v>
      </c>
      <c r="L51" t="str">
        <f>IF(OR(E51=2007,E51=2008,E51=2022,E51=2023),CONCATENATE(G51,E51,H51,E51,I51,H51,E51,I51,J51,F51,K51),CONCATENATE(G51,E51,H51,E51,I51,J51,F51,K51))</f>
        <v>Raw Data/2022/FARS2022NationalCSV/FARS2022NationalCSV/vehicle.csv</v>
      </c>
      <c r="M51" t="str">
        <f>CONCATENATE(LOWER(F51),E51," &lt;- ","read.csv(",CHAR(34),L51,CHAR(34),")")</f>
        <v>vehicle2022 &lt;- read.csv("Raw Data/2022/FARS2022NationalCSV/FARS2022NationalCSV/vehicle.csv")</v>
      </c>
    </row>
    <row r="52" spans="1:13" x14ac:dyDescent="0.25">
      <c r="A52" t="s">
        <v>25</v>
      </c>
      <c r="B52" t="str">
        <f t="shared" si="0"/>
        <v>vehicle</v>
      </c>
      <c r="C52" t="str">
        <f t="shared" si="4"/>
        <v>Vehicle</v>
      </c>
      <c r="D52" t="str">
        <f t="shared" si="6"/>
        <v>vehicle</v>
      </c>
      <c r="E52">
        <v>2023</v>
      </c>
      <c r="F52" s="1" t="str">
        <f t="shared" si="2"/>
        <v>vehicle</v>
      </c>
      <c r="G52" t="s">
        <v>7</v>
      </c>
      <c r="H52" t="s">
        <v>11</v>
      </c>
      <c r="I52" t="s">
        <v>22</v>
      </c>
      <c r="J52" t="s">
        <v>26</v>
      </c>
      <c r="K52" t="str">
        <f t="shared" si="3"/>
        <v>.csv</v>
      </c>
      <c r="L52" t="str">
        <f>IF(OR(E52=2007,E52=2008,E52=2022,E52=2023),CONCATENATE(G52,E52,H52,E52,I52,H52,E52,I52,J52,F52,K52),CONCATENATE(G52,E52,H52,E52,I52,J52,F52,K52))</f>
        <v>Raw Data/2023/FARS2023NationalCSV/FARS2023NationalCSV/vehicle.csv</v>
      </c>
      <c r="M52" t="str">
        <f>CONCATENATE(LOWER(F52),E52," &lt;- ","read.csv(",CHAR(34),L52,CHAR(34),")")</f>
        <v>vehicle2023 &lt;- read.csv("Raw Data/2023/FARS2023NationalCSV/FARS2023NationalCSV/vehicle.csv")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AUX</vt:lpstr>
      <vt:lpstr>National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Torralba</dc:creator>
  <cp:lastModifiedBy>Patrick Torralba</cp:lastModifiedBy>
  <dcterms:created xsi:type="dcterms:W3CDTF">2026-05-04T20:42:37Z</dcterms:created>
  <dcterms:modified xsi:type="dcterms:W3CDTF">2026-05-05T16:15:50Z</dcterms:modified>
</cp:coreProperties>
</file>