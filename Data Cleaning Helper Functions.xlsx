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rra034\Documents\githubb\NHTSA-Research-Redo\"/>
    </mc:Choice>
  </mc:AlternateContent>
  <xr:revisionPtr revIDLastSave="0" documentId="13_ncr:1_{D816AA5D-0EF7-405E-A8C1-80E180A6BA2D}" xr6:coauthVersionLast="47" xr6:coauthVersionMax="47" xr10:uidLastSave="{00000000-0000-0000-0000-000000000000}"/>
  <bookViews>
    <workbookView xWindow="28635" yWindow="1440" windowWidth="12660" windowHeight="11910" activeTab="1" xr2:uid="{FACB296B-8AC4-4D09-B580-086A78C3F6BA}"/>
  </bookViews>
  <sheets>
    <sheet name="AUX" sheetId="1" r:id="rId1"/>
    <sheet name="Nationa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3" i="2" l="1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2" i="2"/>
  <c r="H3" i="2"/>
  <c r="I3" i="2" s="1"/>
  <c r="H4" i="2"/>
  <c r="H5" i="2"/>
  <c r="H6" i="2"/>
  <c r="I6" i="2" s="1"/>
  <c r="H7" i="2"/>
  <c r="H8" i="2"/>
  <c r="H9" i="2"/>
  <c r="H10" i="2"/>
  <c r="H11" i="2"/>
  <c r="H12" i="2"/>
  <c r="I12" i="2" s="1"/>
  <c r="H13" i="2"/>
  <c r="I13" i="2" s="1"/>
  <c r="H14" i="2"/>
  <c r="I14" i="2" s="1"/>
  <c r="H15" i="2"/>
  <c r="I15" i="2" s="1"/>
  <c r="H16" i="2"/>
  <c r="H17" i="2"/>
  <c r="H18" i="2"/>
  <c r="I18" i="2" s="1"/>
  <c r="H19" i="2"/>
  <c r="H20" i="2"/>
  <c r="H21" i="2"/>
  <c r="H22" i="2"/>
  <c r="H23" i="2"/>
  <c r="H24" i="2"/>
  <c r="I24" i="2" s="1"/>
  <c r="H25" i="2"/>
  <c r="I25" i="2" s="1"/>
  <c r="H26" i="2"/>
  <c r="I26" i="2" s="1"/>
  <c r="H27" i="2"/>
  <c r="I27" i="2" s="1"/>
  <c r="H28" i="2"/>
  <c r="H29" i="2"/>
  <c r="H30" i="2"/>
  <c r="I30" i="2" s="1"/>
  <c r="H31" i="2"/>
  <c r="H32" i="2"/>
  <c r="H33" i="2"/>
  <c r="I33" i="2" s="1"/>
  <c r="H34" i="2"/>
  <c r="H35" i="2"/>
  <c r="H36" i="2"/>
  <c r="H37" i="2"/>
  <c r="I37" i="2" s="1"/>
  <c r="H38" i="2"/>
  <c r="I38" i="2" s="1"/>
  <c r="H39" i="2"/>
  <c r="I39" i="2" s="1"/>
  <c r="H40" i="2"/>
  <c r="H41" i="2"/>
  <c r="H42" i="2"/>
  <c r="I42" i="2" s="1"/>
  <c r="H43" i="2"/>
  <c r="H44" i="2"/>
  <c r="H45" i="2"/>
  <c r="I45" i="2" s="1"/>
  <c r="H46" i="2"/>
  <c r="H47" i="2"/>
  <c r="H48" i="2"/>
  <c r="H49" i="2"/>
  <c r="I49" i="2" s="1"/>
  <c r="H50" i="2"/>
  <c r="I50" i="2" s="1"/>
  <c r="H51" i="2"/>
  <c r="I51" i="2" s="1"/>
  <c r="H52" i="2"/>
  <c r="H2" i="2"/>
  <c r="I2" i="2" s="1"/>
  <c r="I31" i="2"/>
  <c r="H2" i="1"/>
  <c r="I52" i="2"/>
  <c r="I48" i="2"/>
  <c r="I47" i="2"/>
  <c r="I46" i="2"/>
  <c r="I44" i="2"/>
  <c r="I43" i="2"/>
  <c r="I41" i="2"/>
  <c r="I40" i="2"/>
  <c r="I36" i="2"/>
  <c r="I35" i="2"/>
  <c r="I34" i="2"/>
  <c r="I32" i="2"/>
  <c r="I29" i="2"/>
  <c r="I28" i="2"/>
  <c r="I23" i="2"/>
  <c r="I22" i="2"/>
  <c r="I21" i="2"/>
  <c r="I20" i="2"/>
  <c r="I19" i="2"/>
  <c r="I17" i="2"/>
  <c r="I16" i="2"/>
  <c r="I11" i="2"/>
  <c r="I10" i="2"/>
  <c r="I9" i="2"/>
  <c r="I8" i="2"/>
  <c r="I7" i="2"/>
  <c r="I5" i="2"/>
  <c r="I4" i="2"/>
  <c r="G36" i="1"/>
  <c r="H36" i="1" s="1"/>
  <c r="G37" i="1"/>
  <c r="H37" i="1"/>
  <c r="G38" i="1"/>
  <c r="H38" i="1"/>
  <c r="G39" i="1"/>
  <c r="H39" i="1"/>
  <c r="G40" i="1"/>
  <c r="H40" i="1"/>
  <c r="G41" i="1"/>
  <c r="H41" i="1" s="1"/>
  <c r="G42" i="1"/>
  <c r="H42" i="1" s="1"/>
  <c r="G43" i="1"/>
  <c r="H43" i="1" s="1"/>
  <c r="G44" i="1"/>
  <c r="H44" i="1" s="1"/>
  <c r="G45" i="1"/>
  <c r="H45" i="1"/>
  <c r="G46" i="1"/>
  <c r="H46" i="1"/>
  <c r="G47" i="1"/>
  <c r="H47" i="1"/>
  <c r="G48" i="1"/>
  <c r="H48" i="1" s="1"/>
  <c r="G49" i="1"/>
  <c r="H49" i="1"/>
  <c r="G50" i="1"/>
  <c r="H50" i="1"/>
  <c r="G51" i="1"/>
  <c r="H51" i="1"/>
  <c r="G52" i="1"/>
  <c r="H52" i="1" s="1"/>
  <c r="G19" i="1"/>
  <c r="H19" i="1" s="1"/>
  <c r="G20" i="1"/>
  <c r="H20" i="1" s="1"/>
  <c r="G21" i="1"/>
  <c r="H21" i="1"/>
  <c r="G22" i="1"/>
  <c r="H22" i="1"/>
  <c r="G23" i="1"/>
  <c r="H23" i="1" s="1"/>
  <c r="G24" i="1"/>
  <c r="H24" i="1" s="1"/>
  <c r="G25" i="1"/>
  <c r="H25" i="1" s="1"/>
  <c r="G26" i="1"/>
  <c r="H26" i="1" s="1"/>
  <c r="G27" i="1"/>
  <c r="H27" i="1" s="1"/>
  <c r="G28" i="1"/>
  <c r="H28" i="1"/>
  <c r="G29" i="1"/>
  <c r="H29" i="1"/>
  <c r="G30" i="1"/>
  <c r="H30" i="1" s="1"/>
  <c r="G31" i="1"/>
  <c r="H31" i="1" s="1"/>
  <c r="G32" i="1"/>
  <c r="H32" i="1" s="1"/>
  <c r="G33" i="1"/>
  <c r="H33" i="1"/>
  <c r="G34" i="1"/>
  <c r="H34" i="1"/>
  <c r="G35" i="1"/>
  <c r="H35" i="1"/>
  <c r="G3" i="1"/>
  <c r="H3" i="1" s="1"/>
  <c r="G4" i="1"/>
  <c r="G5" i="1"/>
  <c r="G6" i="1"/>
  <c r="H6" i="1" s="1"/>
  <c r="G7" i="1"/>
  <c r="G8" i="1"/>
  <c r="H8" i="1" s="1"/>
  <c r="G9" i="1"/>
  <c r="H9" i="1" s="1"/>
  <c r="G10" i="1"/>
  <c r="H10" i="1" s="1"/>
  <c r="G11" i="1"/>
  <c r="H11" i="1" s="1"/>
  <c r="G12" i="1"/>
  <c r="H12" i="1" s="1"/>
  <c r="G13" i="1"/>
  <c r="H13" i="1" s="1"/>
  <c r="G14" i="1"/>
  <c r="H14" i="1" s="1"/>
  <c r="G15" i="1"/>
  <c r="H15" i="1" s="1"/>
  <c r="G16" i="1"/>
  <c r="H16" i="1" s="1"/>
  <c r="G17" i="1"/>
  <c r="G18" i="1"/>
  <c r="G2" i="1"/>
  <c r="H4" i="1"/>
  <c r="H5" i="1"/>
  <c r="H17" i="1"/>
  <c r="H18" i="1"/>
  <c r="H7" i="1"/>
</calcChain>
</file>

<file path=xl/sharedStrings.xml><?xml version="1.0" encoding="utf-8"?>
<sst xmlns="http://schemas.openxmlformats.org/spreadsheetml/2006/main" count="532" uniqueCount="29">
  <si>
    <t>Year</t>
  </si>
  <si>
    <t>ACC</t>
  </si>
  <si>
    <t>PER</t>
  </si>
  <si>
    <t>Data Type</t>
  </si>
  <si>
    <t>File Path Finish</t>
  </si>
  <si>
    <t>Raw Data/2007/FARS2007NationalAuxiliaryCSV/ACC_AUX.CSV</t>
  </si>
  <si>
    <t>File Path AUX1 Template</t>
  </si>
  <si>
    <t>Raw Data/</t>
  </si>
  <si>
    <t>Source of Truth</t>
  </si>
  <si>
    <t>File Path AUX2 Template</t>
  </si>
  <si>
    <t>File Path AUX3 Template</t>
  </si>
  <si>
    <t>/FARS</t>
  </si>
  <si>
    <t>_AUX.CSV</t>
  </si>
  <si>
    <t>File Path AUX4 Template</t>
  </si>
  <si>
    <t>NationalAuxiliaryCSV/</t>
  </si>
  <si>
    <t>Import code</t>
  </si>
  <si>
    <t>VEH</t>
  </si>
  <si>
    <t>ACCIDENT</t>
  </si>
  <si>
    <t>File Path National1 Template</t>
  </si>
  <si>
    <t>File Path National2 Template</t>
  </si>
  <si>
    <t>File Path National3 Template</t>
  </si>
  <si>
    <t>File Path National4 Template</t>
  </si>
  <si>
    <t>File Path National5 Template</t>
  </si>
  <si>
    <t>NationalCSV</t>
  </si>
  <si>
    <t>C:\Users\torra034\Documents\githubb\NHTSA-Research-Redo\Raw Data\2007\FARS2007NationalCSV\FARS2007NationalCSV\ACCIDENT.CSV</t>
  </si>
  <si>
    <t>ACCIDENT.CSV</t>
  </si>
  <si>
    <t>PERSON</t>
  </si>
  <si>
    <t>VEHICLE</t>
  </si>
  <si>
    <t>Dataframe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</si>
</sst>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45556-CFF9-48ED-A785-AB09CC7A01C6}">
  <dimension ref="A1:O52"/>
  <sheetViews>
    <sheetView workbookViewId="0">
      <selection activeCell="H2" sqref="H2"/>
    </sheetView>
  </sheetViews>
  <sheetFormatPr defaultRowHeight="15" x14ac:dyDescent="0.25"/>
  <cols>
    <col min="3" max="5" width="22.5703125" bestFit="1" customWidth="1"/>
    <col min="6" max="6" width="22.5703125" customWidth="1"/>
    <col min="7" max="7" width="54.5703125" customWidth="1"/>
    <col min="8" max="8" width="22.5703125" bestFit="1" customWidth="1"/>
    <col min="15" max="15" width="55.5703125" bestFit="1" customWidth="1"/>
    <col min="17" max="17" width="22.5703125" bestFit="1" customWidth="1"/>
  </cols>
  <sheetData>
    <row r="1" spans="1:15" x14ac:dyDescent="0.25">
      <c r="A1" t="s">
        <v>3</v>
      </c>
      <c r="B1" t="s">
        <v>0</v>
      </c>
      <c r="C1" t="s">
        <v>6</v>
      </c>
      <c r="D1" t="s">
        <v>9</v>
      </c>
      <c r="E1" t="s">
        <v>10</v>
      </c>
      <c r="F1" t="s">
        <v>13</v>
      </c>
      <c r="G1" t="s">
        <v>4</v>
      </c>
      <c r="H1" t="s">
        <v>15</v>
      </c>
      <c r="O1" t="s">
        <v>8</v>
      </c>
    </row>
    <row r="2" spans="1:15" x14ac:dyDescent="0.25">
      <c r="A2" t="s">
        <v>1</v>
      </c>
      <c r="B2" s="1">
        <v>2007</v>
      </c>
      <c r="C2" t="s">
        <v>7</v>
      </c>
      <c r="D2" t="s">
        <v>11</v>
      </c>
      <c r="E2" t="s">
        <v>14</v>
      </c>
      <c r="F2" t="s">
        <v>12</v>
      </c>
      <c r="G2" t="str">
        <f>_xlfn.CONCAT(C2,B2,D2,B2,E2,A2,F2)</f>
        <v>Raw Data/2007/FARS2007NationalAuxiliaryCSV/ACC_AUX.CSV</v>
      </c>
      <c r="H2" t="str">
        <f t="shared" ref="H2:H18" si="0">CONCATENATE(LOWER(A2),B2," &lt;- ","read.csv(",G2,")")</f>
        <v>acc2007 &lt;- read.csv(Raw Data/2007/FARS2007NationalAuxiliaryCSV/ACC_AUX.CSV)</v>
      </c>
      <c r="O2" t="s">
        <v>5</v>
      </c>
    </row>
    <row r="3" spans="1:15" x14ac:dyDescent="0.25">
      <c r="A3" t="s">
        <v>1</v>
      </c>
      <c r="B3">
        <v>2008</v>
      </c>
      <c r="C3" t="s">
        <v>7</v>
      </c>
      <c r="D3" t="s">
        <v>11</v>
      </c>
      <c r="E3" t="s">
        <v>14</v>
      </c>
      <c r="F3" t="s">
        <v>12</v>
      </c>
      <c r="G3" t="str">
        <f t="shared" ref="G3:G18" si="1">_xlfn.CONCAT(C3,B3,D3,B3,E3,A3,F3)</f>
        <v>Raw Data/2008/FARS2008NationalAuxiliaryCSV/ACC_AUX.CSV</v>
      </c>
      <c r="H3" t="str">
        <f t="shared" si="0"/>
        <v>acc2008 &lt;- read.csv(Raw Data/2008/FARS2008NationalAuxiliaryCSV/ACC_AUX.CSV)</v>
      </c>
    </row>
    <row r="4" spans="1:15" x14ac:dyDescent="0.25">
      <c r="A4" t="s">
        <v>1</v>
      </c>
      <c r="B4" s="1">
        <v>2009</v>
      </c>
      <c r="C4" t="s">
        <v>7</v>
      </c>
      <c r="D4" t="s">
        <v>11</v>
      </c>
      <c r="E4" t="s">
        <v>14</v>
      </c>
      <c r="F4" t="s">
        <v>12</v>
      </c>
      <c r="G4" t="str">
        <f t="shared" si="1"/>
        <v>Raw Data/2009/FARS2009NationalAuxiliaryCSV/ACC_AUX.CSV</v>
      </c>
      <c r="H4" t="str">
        <f t="shared" si="0"/>
        <v>acc2009 &lt;- read.csv(Raw Data/2009/FARS2009NationalAuxiliaryCSV/ACC_AUX.CSV)</v>
      </c>
    </row>
    <row r="5" spans="1:15" x14ac:dyDescent="0.25">
      <c r="A5" t="s">
        <v>1</v>
      </c>
      <c r="B5">
        <v>2010</v>
      </c>
      <c r="C5" t="s">
        <v>7</v>
      </c>
      <c r="D5" t="s">
        <v>11</v>
      </c>
      <c r="E5" t="s">
        <v>14</v>
      </c>
      <c r="F5" t="s">
        <v>12</v>
      </c>
      <c r="G5" t="str">
        <f t="shared" si="1"/>
        <v>Raw Data/2010/FARS2010NationalAuxiliaryCSV/ACC_AUX.CSV</v>
      </c>
      <c r="H5" t="str">
        <f t="shared" si="0"/>
        <v>acc2010 &lt;- read.csv(Raw Data/2010/FARS2010NationalAuxiliaryCSV/ACC_AUX.CSV)</v>
      </c>
    </row>
    <row r="6" spans="1:15" x14ac:dyDescent="0.25">
      <c r="A6" t="s">
        <v>1</v>
      </c>
      <c r="B6" s="1">
        <v>2011</v>
      </c>
      <c r="C6" t="s">
        <v>7</v>
      </c>
      <c r="D6" t="s">
        <v>11</v>
      </c>
      <c r="E6" t="s">
        <v>14</v>
      </c>
      <c r="F6" t="s">
        <v>12</v>
      </c>
      <c r="G6" t="str">
        <f t="shared" si="1"/>
        <v>Raw Data/2011/FARS2011NationalAuxiliaryCSV/ACC_AUX.CSV</v>
      </c>
      <c r="H6" t="str">
        <f t="shared" si="0"/>
        <v>acc2011 &lt;- read.csv(Raw Data/2011/FARS2011NationalAuxiliaryCSV/ACC_AUX.CSV)</v>
      </c>
    </row>
    <row r="7" spans="1:15" x14ac:dyDescent="0.25">
      <c r="A7" t="s">
        <v>1</v>
      </c>
      <c r="B7">
        <v>2012</v>
      </c>
      <c r="C7" t="s">
        <v>7</v>
      </c>
      <c r="D7" t="s">
        <v>11</v>
      </c>
      <c r="E7" t="s">
        <v>14</v>
      </c>
      <c r="F7" t="s">
        <v>12</v>
      </c>
      <c r="G7" t="str">
        <f t="shared" si="1"/>
        <v>Raw Data/2012/FARS2012NationalAuxiliaryCSV/ACC_AUX.CSV</v>
      </c>
      <c r="H7" t="str">
        <f t="shared" si="0"/>
        <v>acc2012 &lt;- read.csv(Raw Data/2012/FARS2012NationalAuxiliaryCSV/ACC_AUX.CSV)</v>
      </c>
    </row>
    <row r="8" spans="1:15" x14ac:dyDescent="0.25">
      <c r="A8" t="s">
        <v>1</v>
      </c>
      <c r="B8" s="1">
        <v>2013</v>
      </c>
      <c r="C8" t="s">
        <v>7</v>
      </c>
      <c r="D8" t="s">
        <v>11</v>
      </c>
      <c r="E8" t="s">
        <v>14</v>
      </c>
      <c r="F8" t="s">
        <v>12</v>
      </c>
      <c r="G8" t="str">
        <f t="shared" si="1"/>
        <v>Raw Data/2013/FARS2013NationalAuxiliaryCSV/ACC_AUX.CSV</v>
      </c>
      <c r="H8" t="str">
        <f t="shared" si="0"/>
        <v>acc2013 &lt;- read.csv(Raw Data/2013/FARS2013NationalAuxiliaryCSV/ACC_AUX.CSV)</v>
      </c>
    </row>
    <row r="9" spans="1:15" x14ac:dyDescent="0.25">
      <c r="A9" t="s">
        <v>1</v>
      </c>
      <c r="B9">
        <v>2014</v>
      </c>
      <c r="C9" t="s">
        <v>7</v>
      </c>
      <c r="D9" t="s">
        <v>11</v>
      </c>
      <c r="E9" t="s">
        <v>14</v>
      </c>
      <c r="F9" t="s">
        <v>12</v>
      </c>
      <c r="G9" t="str">
        <f t="shared" si="1"/>
        <v>Raw Data/2014/FARS2014NationalAuxiliaryCSV/ACC_AUX.CSV</v>
      </c>
      <c r="H9" t="str">
        <f t="shared" si="0"/>
        <v>acc2014 &lt;- read.csv(Raw Data/2014/FARS2014NationalAuxiliaryCSV/ACC_AUX.CSV)</v>
      </c>
    </row>
    <row r="10" spans="1:15" x14ac:dyDescent="0.25">
      <c r="A10" t="s">
        <v>1</v>
      </c>
      <c r="B10" s="1">
        <v>2015</v>
      </c>
      <c r="C10" t="s">
        <v>7</v>
      </c>
      <c r="D10" t="s">
        <v>11</v>
      </c>
      <c r="E10" t="s">
        <v>14</v>
      </c>
      <c r="F10" t="s">
        <v>12</v>
      </c>
      <c r="G10" t="str">
        <f t="shared" si="1"/>
        <v>Raw Data/2015/FARS2015NationalAuxiliaryCSV/ACC_AUX.CSV</v>
      </c>
      <c r="H10" t="str">
        <f t="shared" si="0"/>
        <v>acc2015 &lt;- read.csv(Raw Data/2015/FARS2015NationalAuxiliaryCSV/ACC_AUX.CSV)</v>
      </c>
    </row>
    <row r="11" spans="1:15" x14ac:dyDescent="0.25">
      <c r="A11" t="s">
        <v>1</v>
      </c>
      <c r="B11">
        <v>2016</v>
      </c>
      <c r="C11" t="s">
        <v>7</v>
      </c>
      <c r="D11" t="s">
        <v>11</v>
      </c>
      <c r="E11" t="s">
        <v>14</v>
      </c>
      <c r="F11" t="s">
        <v>12</v>
      </c>
      <c r="G11" t="str">
        <f t="shared" si="1"/>
        <v>Raw Data/2016/FARS2016NationalAuxiliaryCSV/ACC_AUX.CSV</v>
      </c>
      <c r="H11" t="str">
        <f t="shared" si="0"/>
        <v>acc2016 &lt;- read.csv(Raw Data/2016/FARS2016NationalAuxiliaryCSV/ACC_AUX.CSV)</v>
      </c>
    </row>
    <row r="12" spans="1:15" x14ac:dyDescent="0.25">
      <c r="A12" t="s">
        <v>1</v>
      </c>
      <c r="B12" s="1">
        <v>2017</v>
      </c>
      <c r="C12" t="s">
        <v>7</v>
      </c>
      <c r="D12" t="s">
        <v>11</v>
      </c>
      <c r="E12" t="s">
        <v>14</v>
      </c>
      <c r="F12" t="s">
        <v>12</v>
      </c>
      <c r="G12" t="str">
        <f t="shared" si="1"/>
        <v>Raw Data/2017/FARS2017NationalAuxiliaryCSV/ACC_AUX.CSV</v>
      </c>
      <c r="H12" t="str">
        <f t="shared" si="0"/>
        <v>acc2017 &lt;- read.csv(Raw Data/2017/FARS2017NationalAuxiliaryCSV/ACC_AUX.CSV)</v>
      </c>
    </row>
    <row r="13" spans="1:15" x14ac:dyDescent="0.25">
      <c r="A13" t="s">
        <v>1</v>
      </c>
      <c r="B13">
        <v>2018</v>
      </c>
      <c r="C13" t="s">
        <v>7</v>
      </c>
      <c r="D13" t="s">
        <v>11</v>
      </c>
      <c r="E13" t="s">
        <v>14</v>
      </c>
      <c r="F13" t="s">
        <v>12</v>
      </c>
      <c r="G13" t="str">
        <f t="shared" si="1"/>
        <v>Raw Data/2018/FARS2018NationalAuxiliaryCSV/ACC_AUX.CSV</v>
      </c>
      <c r="H13" t="str">
        <f t="shared" si="0"/>
        <v>acc2018 &lt;- read.csv(Raw Data/2018/FARS2018NationalAuxiliaryCSV/ACC_AUX.CSV)</v>
      </c>
    </row>
    <row r="14" spans="1:15" x14ac:dyDescent="0.25">
      <c r="A14" t="s">
        <v>1</v>
      </c>
      <c r="B14" s="1">
        <v>2019</v>
      </c>
      <c r="C14" t="s">
        <v>7</v>
      </c>
      <c r="D14" t="s">
        <v>11</v>
      </c>
      <c r="E14" t="s">
        <v>14</v>
      </c>
      <c r="F14" t="s">
        <v>12</v>
      </c>
      <c r="G14" t="str">
        <f t="shared" si="1"/>
        <v>Raw Data/2019/FARS2019NationalAuxiliaryCSV/ACC_AUX.CSV</v>
      </c>
      <c r="H14" t="str">
        <f t="shared" si="0"/>
        <v>acc2019 &lt;- read.csv(Raw Data/2019/FARS2019NationalAuxiliaryCSV/ACC_AUX.CSV)</v>
      </c>
    </row>
    <row r="15" spans="1:15" x14ac:dyDescent="0.25">
      <c r="A15" t="s">
        <v>1</v>
      </c>
      <c r="B15">
        <v>2020</v>
      </c>
      <c r="C15" t="s">
        <v>7</v>
      </c>
      <c r="D15" t="s">
        <v>11</v>
      </c>
      <c r="E15" t="s">
        <v>14</v>
      </c>
      <c r="F15" t="s">
        <v>12</v>
      </c>
      <c r="G15" t="str">
        <f t="shared" si="1"/>
        <v>Raw Data/2020/FARS2020NationalAuxiliaryCSV/ACC_AUX.CSV</v>
      </c>
      <c r="H15" t="str">
        <f t="shared" si="0"/>
        <v>acc2020 &lt;- read.csv(Raw Data/2020/FARS2020NationalAuxiliaryCSV/ACC_AUX.CSV)</v>
      </c>
    </row>
    <row r="16" spans="1:15" x14ac:dyDescent="0.25">
      <c r="A16" t="s">
        <v>1</v>
      </c>
      <c r="B16" s="1">
        <v>2021</v>
      </c>
      <c r="C16" t="s">
        <v>7</v>
      </c>
      <c r="D16" t="s">
        <v>11</v>
      </c>
      <c r="E16" t="s">
        <v>14</v>
      </c>
      <c r="F16" t="s">
        <v>12</v>
      </c>
      <c r="G16" t="str">
        <f t="shared" si="1"/>
        <v>Raw Data/2021/FARS2021NationalAuxiliaryCSV/ACC_AUX.CSV</v>
      </c>
      <c r="H16" t="str">
        <f t="shared" si="0"/>
        <v>acc2021 &lt;- read.csv(Raw Data/2021/FARS2021NationalAuxiliaryCSV/ACC_AUX.CSV)</v>
      </c>
    </row>
    <row r="17" spans="1:8" x14ac:dyDescent="0.25">
      <c r="A17" t="s">
        <v>1</v>
      </c>
      <c r="B17">
        <v>2022</v>
      </c>
      <c r="C17" t="s">
        <v>7</v>
      </c>
      <c r="D17" t="s">
        <v>11</v>
      </c>
      <c r="E17" t="s">
        <v>14</v>
      </c>
      <c r="F17" t="s">
        <v>12</v>
      </c>
      <c r="G17" t="str">
        <f t="shared" si="1"/>
        <v>Raw Data/2022/FARS2022NationalAuxiliaryCSV/ACC_AUX.CSV</v>
      </c>
      <c r="H17" t="str">
        <f t="shared" si="0"/>
        <v>acc2022 &lt;- read.csv(Raw Data/2022/FARS2022NationalAuxiliaryCSV/ACC_AUX.CSV)</v>
      </c>
    </row>
    <row r="18" spans="1:8" x14ac:dyDescent="0.25">
      <c r="A18" t="s">
        <v>1</v>
      </c>
      <c r="B18">
        <v>2023</v>
      </c>
      <c r="C18" t="s">
        <v>7</v>
      </c>
      <c r="D18" t="s">
        <v>11</v>
      </c>
      <c r="E18" t="s">
        <v>14</v>
      </c>
      <c r="F18" t="s">
        <v>12</v>
      </c>
      <c r="G18" t="str">
        <f t="shared" si="1"/>
        <v>Raw Data/2023/FARS2023NationalAuxiliaryCSV/ACC_AUX.CSV</v>
      </c>
      <c r="H18" t="str">
        <f t="shared" si="0"/>
        <v>acc2023 &lt;- read.csv(Raw Data/2023/FARS2023NationalAuxiliaryCSV/ACC_AUX.CSV)</v>
      </c>
    </row>
    <row r="19" spans="1:8" x14ac:dyDescent="0.25">
      <c r="A19" t="s">
        <v>2</v>
      </c>
      <c r="B19" s="1">
        <v>2007</v>
      </c>
      <c r="C19" t="s">
        <v>7</v>
      </c>
      <c r="D19" t="s">
        <v>11</v>
      </c>
      <c r="E19" t="s">
        <v>14</v>
      </c>
      <c r="F19" t="s">
        <v>12</v>
      </c>
      <c r="G19" t="str">
        <f t="shared" ref="G19:G35" si="2">_xlfn.CONCAT(C19,B19,D19,B19,E19,A19,F19)</f>
        <v>Raw Data/2007/FARS2007NationalAuxiliaryCSV/PER_AUX.CSV</v>
      </c>
      <c r="H19" t="str">
        <f t="shared" ref="H19:H35" si="3">CONCATENATE(LOWER(A19),B19," &lt;- ","read.csv(",G19,")")</f>
        <v>per2007 &lt;- read.csv(Raw Data/2007/FARS2007NationalAuxiliaryCSV/PER_AUX.CSV)</v>
      </c>
    </row>
    <row r="20" spans="1:8" x14ac:dyDescent="0.25">
      <c r="A20" t="s">
        <v>2</v>
      </c>
      <c r="B20">
        <v>2008</v>
      </c>
      <c r="C20" t="s">
        <v>7</v>
      </c>
      <c r="D20" t="s">
        <v>11</v>
      </c>
      <c r="E20" t="s">
        <v>14</v>
      </c>
      <c r="F20" t="s">
        <v>12</v>
      </c>
      <c r="G20" t="str">
        <f t="shared" si="2"/>
        <v>Raw Data/2008/FARS2008NationalAuxiliaryCSV/PER_AUX.CSV</v>
      </c>
      <c r="H20" t="str">
        <f t="shared" si="3"/>
        <v>per2008 &lt;- read.csv(Raw Data/2008/FARS2008NationalAuxiliaryCSV/PER_AUX.CSV)</v>
      </c>
    </row>
    <row r="21" spans="1:8" x14ac:dyDescent="0.25">
      <c r="A21" t="s">
        <v>2</v>
      </c>
      <c r="B21" s="1">
        <v>2009</v>
      </c>
      <c r="C21" t="s">
        <v>7</v>
      </c>
      <c r="D21" t="s">
        <v>11</v>
      </c>
      <c r="E21" t="s">
        <v>14</v>
      </c>
      <c r="F21" t="s">
        <v>12</v>
      </c>
      <c r="G21" t="str">
        <f t="shared" si="2"/>
        <v>Raw Data/2009/FARS2009NationalAuxiliaryCSV/PER_AUX.CSV</v>
      </c>
      <c r="H21" t="str">
        <f t="shared" si="3"/>
        <v>per2009 &lt;- read.csv(Raw Data/2009/FARS2009NationalAuxiliaryCSV/PER_AUX.CSV)</v>
      </c>
    </row>
    <row r="22" spans="1:8" x14ac:dyDescent="0.25">
      <c r="A22" t="s">
        <v>2</v>
      </c>
      <c r="B22">
        <v>2010</v>
      </c>
      <c r="C22" t="s">
        <v>7</v>
      </c>
      <c r="D22" t="s">
        <v>11</v>
      </c>
      <c r="E22" t="s">
        <v>14</v>
      </c>
      <c r="F22" t="s">
        <v>12</v>
      </c>
      <c r="G22" t="str">
        <f t="shared" si="2"/>
        <v>Raw Data/2010/FARS2010NationalAuxiliaryCSV/PER_AUX.CSV</v>
      </c>
      <c r="H22" t="str">
        <f t="shared" si="3"/>
        <v>per2010 &lt;- read.csv(Raw Data/2010/FARS2010NationalAuxiliaryCSV/PER_AUX.CSV)</v>
      </c>
    </row>
    <row r="23" spans="1:8" x14ac:dyDescent="0.25">
      <c r="A23" t="s">
        <v>2</v>
      </c>
      <c r="B23" s="1">
        <v>2011</v>
      </c>
      <c r="C23" t="s">
        <v>7</v>
      </c>
      <c r="D23" t="s">
        <v>11</v>
      </c>
      <c r="E23" t="s">
        <v>14</v>
      </c>
      <c r="F23" t="s">
        <v>12</v>
      </c>
      <c r="G23" t="str">
        <f t="shared" si="2"/>
        <v>Raw Data/2011/FARS2011NationalAuxiliaryCSV/PER_AUX.CSV</v>
      </c>
      <c r="H23" t="str">
        <f t="shared" si="3"/>
        <v>per2011 &lt;- read.csv(Raw Data/2011/FARS2011NationalAuxiliaryCSV/PER_AUX.CSV)</v>
      </c>
    </row>
    <row r="24" spans="1:8" x14ac:dyDescent="0.25">
      <c r="A24" t="s">
        <v>2</v>
      </c>
      <c r="B24">
        <v>2012</v>
      </c>
      <c r="C24" t="s">
        <v>7</v>
      </c>
      <c r="D24" t="s">
        <v>11</v>
      </c>
      <c r="E24" t="s">
        <v>14</v>
      </c>
      <c r="F24" t="s">
        <v>12</v>
      </c>
      <c r="G24" t="str">
        <f t="shared" si="2"/>
        <v>Raw Data/2012/FARS2012NationalAuxiliaryCSV/PER_AUX.CSV</v>
      </c>
      <c r="H24" t="str">
        <f t="shared" si="3"/>
        <v>per2012 &lt;- read.csv(Raw Data/2012/FARS2012NationalAuxiliaryCSV/PER_AUX.CSV)</v>
      </c>
    </row>
    <row r="25" spans="1:8" x14ac:dyDescent="0.25">
      <c r="A25" t="s">
        <v>2</v>
      </c>
      <c r="B25" s="1">
        <v>2013</v>
      </c>
      <c r="C25" t="s">
        <v>7</v>
      </c>
      <c r="D25" t="s">
        <v>11</v>
      </c>
      <c r="E25" t="s">
        <v>14</v>
      </c>
      <c r="F25" t="s">
        <v>12</v>
      </c>
      <c r="G25" t="str">
        <f t="shared" si="2"/>
        <v>Raw Data/2013/FARS2013NationalAuxiliaryCSV/PER_AUX.CSV</v>
      </c>
      <c r="H25" t="str">
        <f t="shared" si="3"/>
        <v>per2013 &lt;- read.csv(Raw Data/2013/FARS2013NationalAuxiliaryCSV/PER_AUX.CSV)</v>
      </c>
    </row>
    <row r="26" spans="1:8" x14ac:dyDescent="0.25">
      <c r="A26" t="s">
        <v>2</v>
      </c>
      <c r="B26">
        <v>2014</v>
      </c>
      <c r="C26" t="s">
        <v>7</v>
      </c>
      <c r="D26" t="s">
        <v>11</v>
      </c>
      <c r="E26" t="s">
        <v>14</v>
      </c>
      <c r="F26" t="s">
        <v>12</v>
      </c>
      <c r="G26" t="str">
        <f t="shared" si="2"/>
        <v>Raw Data/2014/FARS2014NationalAuxiliaryCSV/PER_AUX.CSV</v>
      </c>
      <c r="H26" t="str">
        <f t="shared" si="3"/>
        <v>per2014 &lt;- read.csv(Raw Data/2014/FARS2014NationalAuxiliaryCSV/PER_AUX.CSV)</v>
      </c>
    </row>
    <row r="27" spans="1:8" x14ac:dyDescent="0.25">
      <c r="A27" t="s">
        <v>2</v>
      </c>
      <c r="B27" s="1">
        <v>2015</v>
      </c>
      <c r="C27" t="s">
        <v>7</v>
      </c>
      <c r="D27" t="s">
        <v>11</v>
      </c>
      <c r="E27" t="s">
        <v>14</v>
      </c>
      <c r="F27" t="s">
        <v>12</v>
      </c>
      <c r="G27" t="str">
        <f t="shared" si="2"/>
        <v>Raw Data/2015/FARS2015NationalAuxiliaryCSV/PER_AUX.CSV</v>
      </c>
      <c r="H27" t="str">
        <f t="shared" si="3"/>
        <v>per2015 &lt;- read.csv(Raw Data/2015/FARS2015NationalAuxiliaryCSV/PER_AUX.CSV)</v>
      </c>
    </row>
    <row r="28" spans="1:8" x14ac:dyDescent="0.25">
      <c r="A28" t="s">
        <v>2</v>
      </c>
      <c r="B28">
        <v>2016</v>
      </c>
      <c r="C28" t="s">
        <v>7</v>
      </c>
      <c r="D28" t="s">
        <v>11</v>
      </c>
      <c r="E28" t="s">
        <v>14</v>
      </c>
      <c r="F28" t="s">
        <v>12</v>
      </c>
      <c r="G28" t="str">
        <f t="shared" si="2"/>
        <v>Raw Data/2016/FARS2016NationalAuxiliaryCSV/PER_AUX.CSV</v>
      </c>
      <c r="H28" t="str">
        <f t="shared" si="3"/>
        <v>per2016 &lt;- read.csv(Raw Data/2016/FARS2016NationalAuxiliaryCSV/PER_AUX.CSV)</v>
      </c>
    </row>
    <row r="29" spans="1:8" x14ac:dyDescent="0.25">
      <c r="A29" t="s">
        <v>2</v>
      </c>
      <c r="B29" s="1">
        <v>2017</v>
      </c>
      <c r="C29" t="s">
        <v>7</v>
      </c>
      <c r="D29" t="s">
        <v>11</v>
      </c>
      <c r="E29" t="s">
        <v>14</v>
      </c>
      <c r="F29" t="s">
        <v>12</v>
      </c>
      <c r="G29" t="str">
        <f t="shared" si="2"/>
        <v>Raw Data/2017/FARS2017NationalAuxiliaryCSV/PER_AUX.CSV</v>
      </c>
      <c r="H29" t="str">
        <f t="shared" si="3"/>
        <v>per2017 &lt;- read.csv(Raw Data/2017/FARS2017NationalAuxiliaryCSV/PER_AUX.CSV)</v>
      </c>
    </row>
    <row r="30" spans="1:8" x14ac:dyDescent="0.25">
      <c r="A30" t="s">
        <v>2</v>
      </c>
      <c r="B30">
        <v>2018</v>
      </c>
      <c r="C30" t="s">
        <v>7</v>
      </c>
      <c r="D30" t="s">
        <v>11</v>
      </c>
      <c r="E30" t="s">
        <v>14</v>
      </c>
      <c r="F30" t="s">
        <v>12</v>
      </c>
      <c r="G30" t="str">
        <f t="shared" si="2"/>
        <v>Raw Data/2018/FARS2018NationalAuxiliaryCSV/PER_AUX.CSV</v>
      </c>
      <c r="H30" t="str">
        <f t="shared" si="3"/>
        <v>per2018 &lt;- read.csv(Raw Data/2018/FARS2018NationalAuxiliaryCSV/PER_AUX.CSV)</v>
      </c>
    </row>
    <row r="31" spans="1:8" x14ac:dyDescent="0.25">
      <c r="A31" t="s">
        <v>2</v>
      </c>
      <c r="B31" s="1">
        <v>2019</v>
      </c>
      <c r="C31" t="s">
        <v>7</v>
      </c>
      <c r="D31" t="s">
        <v>11</v>
      </c>
      <c r="E31" t="s">
        <v>14</v>
      </c>
      <c r="F31" t="s">
        <v>12</v>
      </c>
      <c r="G31" t="str">
        <f t="shared" si="2"/>
        <v>Raw Data/2019/FARS2019NationalAuxiliaryCSV/PER_AUX.CSV</v>
      </c>
      <c r="H31" t="str">
        <f t="shared" si="3"/>
        <v>per2019 &lt;- read.csv(Raw Data/2019/FARS2019NationalAuxiliaryCSV/PER_AUX.CSV)</v>
      </c>
    </row>
    <row r="32" spans="1:8" x14ac:dyDescent="0.25">
      <c r="A32" t="s">
        <v>2</v>
      </c>
      <c r="B32">
        <v>2020</v>
      </c>
      <c r="C32" t="s">
        <v>7</v>
      </c>
      <c r="D32" t="s">
        <v>11</v>
      </c>
      <c r="E32" t="s">
        <v>14</v>
      </c>
      <c r="F32" t="s">
        <v>12</v>
      </c>
      <c r="G32" t="str">
        <f t="shared" si="2"/>
        <v>Raw Data/2020/FARS2020NationalAuxiliaryCSV/PER_AUX.CSV</v>
      </c>
      <c r="H32" t="str">
        <f t="shared" si="3"/>
        <v>per2020 &lt;- read.csv(Raw Data/2020/FARS2020NationalAuxiliaryCSV/PER_AUX.CSV)</v>
      </c>
    </row>
    <row r="33" spans="1:8" x14ac:dyDescent="0.25">
      <c r="A33" t="s">
        <v>2</v>
      </c>
      <c r="B33" s="1">
        <v>2021</v>
      </c>
      <c r="C33" t="s">
        <v>7</v>
      </c>
      <c r="D33" t="s">
        <v>11</v>
      </c>
      <c r="E33" t="s">
        <v>14</v>
      </c>
      <c r="F33" t="s">
        <v>12</v>
      </c>
      <c r="G33" t="str">
        <f t="shared" si="2"/>
        <v>Raw Data/2021/FARS2021NationalAuxiliaryCSV/PER_AUX.CSV</v>
      </c>
      <c r="H33" t="str">
        <f t="shared" si="3"/>
        <v>per2021 &lt;- read.csv(Raw Data/2021/FARS2021NationalAuxiliaryCSV/PER_AUX.CSV)</v>
      </c>
    </row>
    <row r="34" spans="1:8" x14ac:dyDescent="0.25">
      <c r="A34" t="s">
        <v>2</v>
      </c>
      <c r="B34">
        <v>2022</v>
      </c>
      <c r="C34" t="s">
        <v>7</v>
      </c>
      <c r="D34" t="s">
        <v>11</v>
      </c>
      <c r="E34" t="s">
        <v>14</v>
      </c>
      <c r="F34" t="s">
        <v>12</v>
      </c>
      <c r="G34" t="str">
        <f t="shared" si="2"/>
        <v>Raw Data/2022/FARS2022NationalAuxiliaryCSV/PER_AUX.CSV</v>
      </c>
      <c r="H34" t="str">
        <f t="shared" si="3"/>
        <v>per2022 &lt;- read.csv(Raw Data/2022/FARS2022NationalAuxiliaryCSV/PER_AUX.CSV)</v>
      </c>
    </row>
    <row r="35" spans="1:8" x14ac:dyDescent="0.25">
      <c r="A35" t="s">
        <v>2</v>
      </c>
      <c r="B35">
        <v>2023</v>
      </c>
      <c r="C35" t="s">
        <v>7</v>
      </c>
      <c r="D35" t="s">
        <v>11</v>
      </c>
      <c r="E35" t="s">
        <v>14</v>
      </c>
      <c r="F35" t="s">
        <v>12</v>
      </c>
      <c r="G35" t="str">
        <f t="shared" si="2"/>
        <v>Raw Data/2023/FARS2023NationalAuxiliaryCSV/PER_AUX.CSV</v>
      </c>
      <c r="H35" t="str">
        <f t="shared" si="3"/>
        <v>per2023 &lt;- read.csv(Raw Data/2023/FARS2023NationalAuxiliaryCSV/PER_AUX.CSV)</v>
      </c>
    </row>
    <row r="36" spans="1:8" x14ac:dyDescent="0.25">
      <c r="A36" t="s">
        <v>16</v>
      </c>
      <c r="B36" s="1">
        <v>2007</v>
      </c>
      <c r="C36" t="s">
        <v>7</v>
      </c>
      <c r="D36" t="s">
        <v>11</v>
      </c>
      <c r="E36" t="s">
        <v>14</v>
      </c>
      <c r="F36" t="s">
        <v>12</v>
      </c>
      <c r="G36" t="str">
        <f t="shared" ref="G36:G52" si="4">_xlfn.CONCAT(C36,B36,D36,B36,E36,A36,F36)</f>
        <v>Raw Data/2007/FARS2007NationalAuxiliaryCSV/VEH_AUX.CSV</v>
      </c>
      <c r="H36" t="str">
        <f t="shared" ref="H36:H52" si="5">CONCATENATE(LOWER(A36),B36," &lt;- ","read.csv(",G36,")")</f>
        <v>veh2007 &lt;- read.csv(Raw Data/2007/FARS2007NationalAuxiliaryCSV/VEH_AUX.CSV)</v>
      </c>
    </row>
    <row r="37" spans="1:8" x14ac:dyDescent="0.25">
      <c r="A37" t="s">
        <v>16</v>
      </c>
      <c r="B37">
        <v>2008</v>
      </c>
      <c r="C37" t="s">
        <v>7</v>
      </c>
      <c r="D37" t="s">
        <v>11</v>
      </c>
      <c r="E37" t="s">
        <v>14</v>
      </c>
      <c r="F37" t="s">
        <v>12</v>
      </c>
      <c r="G37" t="str">
        <f t="shared" si="4"/>
        <v>Raw Data/2008/FARS2008NationalAuxiliaryCSV/VEH_AUX.CSV</v>
      </c>
      <c r="H37" t="str">
        <f t="shared" si="5"/>
        <v>veh2008 &lt;- read.csv(Raw Data/2008/FARS2008NationalAuxiliaryCSV/VEH_AUX.CSV)</v>
      </c>
    </row>
    <row r="38" spans="1:8" x14ac:dyDescent="0.25">
      <c r="A38" t="s">
        <v>16</v>
      </c>
      <c r="B38" s="1">
        <v>2009</v>
      </c>
      <c r="C38" t="s">
        <v>7</v>
      </c>
      <c r="D38" t="s">
        <v>11</v>
      </c>
      <c r="E38" t="s">
        <v>14</v>
      </c>
      <c r="F38" t="s">
        <v>12</v>
      </c>
      <c r="G38" t="str">
        <f t="shared" si="4"/>
        <v>Raw Data/2009/FARS2009NationalAuxiliaryCSV/VEH_AUX.CSV</v>
      </c>
      <c r="H38" t="str">
        <f t="shared" si="5"/>
        <v>veh2009 &lt;- read.csv(Raw Data/2009/FARS2009NationalAuxiliaryCSV/VEH_AUX.CSV)</v>
      </c>
    </row>
    <row r="39" spans="1:8" x14ac:dyDescent="0.25">
      <c r="A39" t="s">
        <v>16</v>
      </c>
      <c r="B39">
        <v>2010</v>
      </c>
      <c r="C39" t="s">
        <v>7</v>
      </c>
      <c r="D39" t="s">
        <v>11</v>
      </c>
      <c r="E39" t="s">
        <v>14</v>
      </c>
      <c r="F39" t="s">
        <v>12</v>
      </c>
      <c r="G39" t="str">
        <f t="shared" si="4"/>
        <v>Raw Data/2010/FARS2010NationalAuxiliaryCSV/VEH_AUX.CSV</v>
      </c>
      <c r="H39" t="str">
        <f t="shared" si="5"/>
        <v>veh2010 &lt;- read.csv(Raw Data/2010/FARS2010NationalAuxiliaryCSV/VEH_AUX.CSV)</v>
      </c>
    </row>
    <row r="40" spans="1:8" x14ac:dyDescent="0.25">
      <c r="A40" t="s">
        <v>16</v>
      </c>
      <c r="B40" s="1">
        <v>2011</v>
      </c>
      <c r="C40" t="s">
        <v>7</v>
      </c>
      <c r="D40" t="s">
        <v>11</v>
      </c>
      <c r="E40" t="s">
        <v>14</v>
      </c>
      <c r="F40" t="s">
        <v>12</v>
      </c>
      <c r="G40" t="str">
        <f t="shared" si="4"/>
        <v>Raw Data/2011/FARS2011NationalAuxiliaryCSV/VEH_AUX.CSV</v>
      </c>
      <c r="H40" t="str">
        <f t="shared" si="5"/>
        <v>veh2011 &lt;- read.csv(Raw Data/2011/FARS2011NationalAuxiliaryCSV/VEH_AUX.CSV)</v>
      </c>
    </row>
    <row r="41" spans="1:8" x14ac:dyDescent="0.25">
      <c r="A41" t="s">
        <v>16</v>
      </c>
      <c r="B41">
        <v>2012</v>
      </c>
      <c r="C41" t="s">
        <v>7</v>
      </c>
      <c r="D41" t="s">
        <v>11</v>
      </c>
      <c r="E41" t="s">
        <v>14</v>
      </c>
      <c r="F41" t="s">
        <v>12</v>
      </c>
      <c r="G41" t="str">
        <f t="shared" si="4"/>
        <v>Raw Data/2012/FARS2012NationalAuxiliaryCSV/VEH_AUX.CSV</v>
      </c>
      <c r="H41" t="str">
        <f t="shared" si="5"/>
        <v>veh2012 &lt;- read.csv(Raw Data/2012/FARS2012NationalAuxiliaryCSV/VEH_AUX.CSV)</v>
      </c>
    </row>
    <row r="42" spans="1:8" x14ac:dyDescent="0.25">
      <c r="A42" t="s">
        <v>16</v>
      </c>
      <c r="B42" s="1">
        <v>2013</v>
      </c>
      <c r="C42" t="s">
        <v>7</v>
      </c>
      <c r="D42" t="s">
        <v>11</v>
      </c>
      <c r="E42" t="s">
        <v>14</v>
      </c>
      <c r="F42" t="s">
        <v>12</v>
      </c>
      <c r="G42" t="str">
        <f t="shared" si="4"/>
        <v>Raw Data/2013/FARS2013NationalAuxiliaryCSV/VEH_AUX.CSV</v>
      </c>
      <c r="H42" t="str">
        <f t="shared" si="5"/>
        <v>veh2013 &lt;- read.csv(Raw Data/2013/FARS2013NationalAuxiliaryCSV/VEH_AUX.CSV)</v>
      </c>
    </row>
    <row r="43" spans="1:8" x14ac:dyDescent="0.25">
      <c r="A43" t="s">
        <v>16</v>
      </c>
      <c r="B43">
        <v>2014</v>
      </c>
      <c r="C43" t="s">
        <v>7</v>
      </c>
      <c r="D43" t="s">
        <v>11</v>
      </c>
      <c r="E43" t="s">
        <v>14</v>
      </c>
      <c r="F43" t="s">
        <v>12</v>
      </c>
      <c r="G43" t="str">
        <f t="shared" si="4"/>
        <v>Raw Data/2014/FARS2014NationalAuxiliaryCSV/VEH_AUX.CSV</v>
      </c>
      <c r="H43" t="str">
        <f t="shared" si="5"/>
        <v>veh2014 &lt;- read.csv(Raw Data/2014/FARS2014NationalAuxiliaryCSV/VEH_AUX.CSV)</v>
      </c>
    </row>
    <row r="44" spans="1:8" x14ac:dyDescent="0.25">
      <c r="A44" t="s">
        <v>16</v>
      </c>
      <c r="B44" s="1">
        <v>2015</v>
      </c>
      <c r="C44" t="s">
        <v>7</v>
      </c>
      <c r="D44" t="s">
        <v>11</v>
      </c>
      <c r="E44" t="s">
        <v>14</v>
      </c>
      <c r="F44" t="s">
        <v>12</v>
      </c>
      <c r="G44" t="str">
        <f t="shared" si="4"/>
        <v>Raw Data/2015/FARS2015NationalAuxiliaryCSV/VEH_AUX.CSV</v>
      </c>
      <c r="H44" t="str">
        <f t="shared" si="5"/>
        <v>veh2015 &lt;- read.csv(Raw Data/2015/FARS2015NationalAuxiliaryCSV/VEH_AUX.CSV)</v>
      </c>
    </row>
    <row r="45" spans="1:8" x14ac:dyDescent="0.25">
      <c r="A45" t="s">
        <v>16</v>
      </c>
      <c r="B45">
        <v>2016</v>
      </c>
      <c r="C45" t="s">
        <v>7</v>
      </c>
      <c r="D45" t="s">
        <v>11</v>
      </c>
      <c r="E45" t="s">
        <v>14</v>
      </c>
      <c r="F45" t="s">
        <v>12</v>
      </c>
      <c r="G45" t="str">
        <f t="shared" si="4"/>
        <v>Raw Data/2016/FARS2016NationalAuxiliaryCSV/VEH_AUX.CSV</v>
      </c>
      <c r="H45" t="str">
        <f t="shared" si="5"/>
        <v>veh2016 &lt;- read.csv(Raw Data/2016/FARS2016NationalAuxiliaryCSV/VEH_AUX.CSV)</v>
      </c>
    </row>
    <row r="46" spans="1:8" x14ac:dyDescent="0.25">
      <c r="A46" t="s">
        <v>16</v>
      </c>
      <c r="B46" s="1">
        <v>2017</v>
      </c>
      <c r="C46" t="s">
        <v>7</v>
      </c>
      <c r="D46" t="s">
        <v>11</v>
      </c>
      <c r="E46" t="s">
        <v>14</v>
      </c>
      <c r="F46" t="s">
        <v>12</v>
      </c>
      <c r="G46" t="str">
        <f t="shared" si="4"/>
        <v>Raw Data/2017/FARS2017NationalAuxiliaryCSV/VEH_AUX.CSV</v>
      </c>
      <c r="H46" t="str">
        <f t="shared" si="5"/>
        <v>veh2017 &lt;- read.csv(Raw Data/2017/FARS2017NationalAuxiliaryCSV/VEH_AUX.CSV)</v>
      </c>
    </row>
    <row r="47" spans="1:8" x14ac:dyDescent="0.25">
      <c r="A47" t="s">
        <v>16</v>
      </c>
      <c r="B47">
        <v>2018</v>
      </c>
      <c r="C47" t="s">
        <v>7</v>
      </c>
      <c r="D47" t="s">
        <v>11</v>
      </c>
      <c r="E47" t="s">
        <v>14</v>
      </c>
      <c r="F47" t="s">
        <v>12</v>
      </c>
      <c r="G47" t="str">
        <f t="shared" si="4"/>
        <v>Raw Data/2018/FARS2018NationalAuxiliaryCSV/VEH_AUX.CSV</v>
      </c>
      <c r="H47" t="str">
        <f t="shared" si="5"/>
        <v>veh2018 &lt;- read.csv(Raw Data/2018/FARS2018NationalAuxiliaryCSV/VEH_AUX.CSV)</v>
      </c>
    </row>
    <row r="48" spans="1:8" x14ac:dyDescent="0.25">
      <c r="A48" t="s">
        <v>16</v>
      </c>
      <c r="B48" s="1">
        <v>2019</v>
      </c>
      <c r="C48" t="s">
        <v>7</v>
      </c>
      <c r="D48" t="s">
        <v>11</v>
      </c>
      <c r="E48" t="s">
        <v>14</v>
      </c>
      <c r="F48" t="s">
        <v>12</v>
      </c>
      <c r="G48" t="str">
        <f t="shared" si="4"/>
        <v>Raw Data/2019/FARS2019NationalAuxiliaryCSV/VEH_AUX.CSV</v>
      </c>
      <c r="H48" t="str">
        <f t="shared" si="5"/>
        <v>veh2019 &lt;- read.csv(Raw Data/2019/FARS2019NationalAuxiliaryCSV/VEH_AUX.CSV)</v>
      </c>
    </row>
    <row r="49" spans="1:8" x14ac:dyDescent="0.25">
      <c r="A49" t="s">
        <v>16</v>
      </c>
      <c r="B49">
        <v>2020</v>
      </c>
      <c r="C49" t="s">
        <v>7</v>
      </c>
      <c r="D49" t="s">
        <v>11</v>
      </c>
      <c r="E49" t="s">
        <v>14</v>
      </c>
      <c r="F49" t="s">
        <v>12</v>
      </c>
      <c r="G49" t="str">
        <f t="shared" si="4"/>
        <v>Raw Data/2020/FARS2020NationalAuxiliaryCSV/VEH_AUX.CSV</v>
      </c>
      <c r="H49" t="str">
        <f t="shared" si="5"/>
        <v>veh2020 &lt;- read.csv(Raw Data/2020/FARS2020NationalAuxiliaryCSV/VEH_AUX.CSV)</v>
      </c>
    </row>
    <row r="50" spans="1:8" x14ac:dyDescent="0.25">
      <c r="A50" t="s">
        <v>16</v>
      </c>
      <c r="B50" s="1">
        <v>2021</v>
      </c>
      <c r="C50" t="s">
        <v>7</v>
      </c>
      <c r="D50" t="s">
        <v>11</v>
      </c>
      <c r="E50" t="s">
        <v>14</v>
      </c>
      <c r="F50" t="s">
        <v>12</v>
      </c>
      <c r="G50" t="str">
        <f t="shared" si="4"/>
        <v>Raw Data/2021/FARS2021NationalAuxiliaryCSV/VEH_AUX.CSV</v>
      </c>
      <c r="H50" t="str">
        <f t="shared" si="5"/>
        <v>veh2021 &lt;- read.csv(Raw Data/2021/FARS2021NationalAuxiliaryCSV/VEH_AUX.CSV)</v>
      </c>
    </row>
    <row r="51" spans="1:8" x14ac:dyDescent="0.25">
      <c r="A51" t="s">
        <v>16</v>
      </c>
      <c r="B51">
        <v>2022</v>
      </c>
      <c r="C51" t="s">
        <v>7</v>
      </c>
      <c r="D51" t="s">
        <v>11</v>
      </c>
      <c r="E51" t="s">
        <v>14</v>
      </c>
      <c r="F51" t="s">
        <v>12</v>
      </c>
      <c r="G51" t="str">
        <f t="shared" si="4"/>
        <v>Raw Data/2022/FARS2022NationalAuxiliaryCSV/VEH_AUX.CSV</v>
      </c>
      <c r="H51" t="str">
        <f t="shared" si="5"/>
        <v>veh2022 &lt;- read.csv(Raw Data/2022/FARS2022NationalAuxiliaryCSV/VEH_AUX.CSV)</v>
      </c>
    </row>
    <row r="52" spans="1:8" x14ac:dyDescent="0.25">
      <c r="A52" t="s">
        <v>16</v>
      </c>
      <c r="B52">
        <v>2023</v>
      </c>
      <c r="C52" t="s">
        <v>7</v>
      </c>
      <c r="D52" t="s">
        <v>11</v>
      </c>
      <c r="E52" t="s">
        <v>14</v>
      </c>
      <c r="F52" t="s">
        <v>12</v>
      </c>
      <c r="G52" t="str">
        <f t="shared" si="4"/>
        <v>Raw Data/2023/FARS2023NationalAuxiliaryCSV/VEH_AUX.CSV</v>
      </c>
      <c r="H52" t="str">
        <f t="shared" si="5"/>
        <v>veh2023 &lt;- read.csv(Raw Data/2023/FARS2023NationalAuxiliaryCSV/VEH_AUX.CSV)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536F7-B082-4C68-A30C-B0878A4AA9A6}">
  <dimension ref="A1:P52"/>
  <sheetViews>
    <sheetView tabSelected="1" workbookViewId="0"/>
  </sheetViews>
  <sheetFormatPr defaultRowHeight="15" x14ac:dyDescent="0.25"/>
  <cols>
    <col min="3" max="5" width="22.5703125" bestFit="1" customWidth="1"/>
    <col min="6" max="7" width="22.5703125" customWidth="1"/>
    <col min="8" max="8" width="65.28515625" bestFit="1" customWidth="1"/>
    <col min="9" max="9" width="22.5703125" bestFit="1" customWidth="1"/>
    <col min="16" max="16" width="126.140625" bestFit="1" customWidth="1"/>
    <col min="18" max="18" width="22.5703125" bestFit="1" customWidth="1"/>
  </cols>
  <sheetData>
    <row r="1" spans="1:16" x14ac:dyDescent="0.25">
      <c r="A1" t="s">
        <v>3</v>
      </c>
      <c r="B1" t="s">
        <v>0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  <c r="H1" t="s">
        <v>4</v>
      </c>
      <c r="I1" t="s">
        <v>15</v>
      </c>
      <c r="J1" t="s">
        <v>28</v>
      </c>
      <c r="P1" t="s">
        <v>8</v>
      </c>
    </row>
    <row r="2" spans="1:16" x14ac:dyDescent="0.25">
      <c r="A2" t="s">
        <v>17</v>
      </c>
      <c r="B2" s="1">
        <v>2007</v>
      </c>
      <c r="C2" t="s">
        <v>7</v>
      </c>
      <c r="D2" t="s">
        <v>11</v>
      </c>
      <c r="E2" t="s">
        <v>23</v>
      </c>
      <c r="F2" t="s">
        <v>25</v>
      </c>
      <c r="H2" t="str">
        <f>CONCATENATE(C2,B2,D2,B2,E2,D2,B2,E2,"/",F2)</f>
        <v>Raw Data/2007/FARS2007NationalCSV/FARS2007NationalCSV/ACCIDENT.CSV</v>
      </c>
      <c r="I2" t="str">
        <f>CONCATENATE(LOWER(A2),B2," &lt;- ","read.csv(",CHAR(34),H2,CHAR(34),")")</f>
        <v>accident2007 &lt;- read.csv("Raw Data/2007/FARS2007NationalCSV/FARS2007NationalCSV/ACCIDENT.CSV")</v>
      </c>
      <c r="J2" t="str">
        <f>CONCATENATE(LOWER(A2),B2)</f>
        <v>accident2007</v>
      </c>
      <c r="P2" t="s">
        <v>24</v>
      </c>
    </row>
    <row r="3" spans="1:16" x14ac:dyDescent="0.25">
      <c r="A3" t="s">
        <v>17</v>
      </c>
      <c r="B3">
        <v>2008</v>
      </c>
      <c r="C3" t="s">
        <v>7</v>
      </c>
      <c r="D3" t="s">
        <v>11</v>
      </c>
      <c r="E3" t="s">
        <v>14</v>
      </c>
      <c r="F3" t="s">
        <v>25</v>
      </c>
      <c r="H3" t="str">
        <f t="shared" ref="H3:H52" si="0">CONCATENATE(C3,B3,D3,B3,E3,D3,B3,E3,"/",F3)</f>
        <v>Raw Data/2008/FARS2008NationalAuxiliaryCSV//FARS2008NationalAuxiliaryCSV//ACCIDENT.CSV</v>
      </c>
      <c r="I3" t="str">
        <f t="shared" ref="I3:I52" si="1">CONCATENATE(LOWER(A3),B3," &lt;- ","read.csv(",CHAR(34),H3,CHAR(34),")")</f>
        <v>accident2008 &lt;- read.csv("Raw Data/2008/FARS2008NationalAuxiliaryCSV//FARS2008NationalAuxiliaryCSV//ACCIDENT.CSV")</v>
      </c>
      <c r="J3" t="str">
        <f t="shared" ref="J3:J52" si="2">CONCATENATE(LOWER(A3),B3)</f>
        <v>accident2008</v>
      </c>
    </row>
    <row r="4" spans="1:16" x14ac:dyDescent="0.25">
      <c r="A4" t="s">
        <v>17</v>
      </c>
      <c r="B4" s="1">
        <v>2009</v>
      </c>
      <c r="C4" t="s">
        <v>7</v>
      </c>
      <c r="D4" t="s">
        <v>11</v>
      </c>
      <c r="E4" t="s">
        <v>14</v>
      </c>
      <c r="F4" t="s">
        <v>25</v>
      </c>
      <c r="H4" t="str">
        <f t="shared" si="0"/>
        <v>Raw Data/2009/FARS2009NationalAuxiliaryCSV//FARS2009NationalAuxiliaryCSV//ACCIDENT.CSV</v>
      </c>
      <c r="I4" t="str">
        <f t="shared" si="1"/>
        <v>accident2009 &lt;- read.csv("Raw Data/2009/FARS2009NationalAuxiliaryCSV//FARS2009NationalAuxiliaryCSV//ACCIDENT.CSV")</v>
      </c>
      <c r="J4" t="str">
        <f t="shared" si="2"/>
        <v>accident2009</v>
      </c>
    </row>
    <row r="5" spans="1:16" x14ac:dyDescent="0.25">
      <c r="A5" t="s">
        <v>17</v>
      </c>
      <c r="B5">
        <v>2010</v>
      </c>
      <c r="C5" t="s">
        <v>7</v>
      </c>
      <c r="D5" t="s">
        <v>11</v>
      </c>
      <c r="E5" t="s">
        <v>14</v>
      </c>
      <c r="F5" t="s">
        <v>25</v>
      </c>
      <c r="H5" t="str">
        <f t="shared" si="0"/>
        <v>Raw Data/2010/FARS2010NationalAuxiliaryCSV//FARS2010NationalAuxiliaryCSV//ACCIDENT.CSV</v>
      </c>
      <c r="I5" t="str">
        <f t="shared" si="1"/>
        <v>accident2010 &lt;- read.csv("Raw Data/2010/FARS2010NationalAuxiliaryCSV//FARS2010NationalAuxiliaryCSV//ACCIDENT.CSV")</v>
      </c>
      <c r="J5" t="str">
        <f t="shared" si="2"/>
        <v>accident2010</v>
      </c>
    </row>
    <row r="6" spans="1:16" x14ac:dyDescent="0.25">
      <c r="A6" t="s">
        <v>17</v>
      </c>
      <c r="B6" s="1">
        <v>2011</v>
      </c>
      <c r="C6" t="s">
        <v>7</v>
      </c>
      <c r="D6" t="s">
        <v>11</v>
      </c>
      <c r="E6" t="s">
        <v>14</v>
      </c>
      <c r="F6" t="s">
        <v>25</v>
      </c>
      <c r="H6" t="str">
        <f t="shared" si="0"/>
        <v>Raw Data/2011/FARS2011NationalAuxiliaryCSV//FARS2011NationalAuxiliaryCSV//ACCIDENT.CSV</v>
      </c>
      <c r="I6" t="str">
        <f t="shared" si="1"/>
        <v>accident2011 &lt;- read.csv("Raw Data/2011/FARS2011NationalAuxiliaryCSV//FARS2011NationalAuxiliaryCSV//ACCIDENT.CSV")</v>
      </c>
      <c r="J6" t="str">
        <f t="shared" si="2"/>
        <v>accident2011</v>
      </c>
    </row>
    <row r="7" spans="1:16" x14ac:dyDescent="0.25">
      <c r="A7" t="s">
        <v>17</v>
      </c>
      <c r="B7">
        <v>2012</v>
      </c>
      <c r="C7" t="s">
        <v>7</v>
      </c>
      <c r="D7" t="s">
        <v>11</v>
      </c>
      <c r="E7" t="s">
        <v>14</v>
      </c>
      <c r="F7" t="s">
        <v>25</v>
      </c>
      <c r="H7" t="str">
        <f t="shared" si="0"/>
        <v>Raw Data/2012/FARS2012NationalAuxiliaryCSV//FARS2012NationalAuxiliaryCSV//ACCIDENT.CSV</v>
      </c>
      <c r="I7" t="str">
        <f t="shared" si="1"/>
        <v>accident2012 &lt;- read.csv("Raw Data/2012/FARS2012NationalAuxiliaryCSV//FARS2012NationalAuxiliaryCSV//ACCIDENT.CSV")</v>
      </c>
      <c r="J7" t="str">
        <f t="shared" si="2"/>
        <v>accident2012</v>
      </c>
    </row>
    <row r="8" spans="1:16" x14ac:dyDescent="0.25">
      <c r="A8" t="s">
        <v>17</v>
      </c>
      <c r="B8" s="1">
        <v>2013</v>
      </c>
      <c r="C8" t="s">
        <v>7</v>
      </c>
      <c r="D8" t="s">
        <v>11</v>
      </c>
      <c r="E8" t="s">
        <v>14</v>
      </c>
      <c r="F8" t="s">
        <v>25</v>
      </c>
      <c r="H8" t="str">
        <f t="shared" si="0"/>
        <v>Raw Data/2013/FARS2013NationalAuxiliaryCSV//FARS2013NationalAuxiliaryCSV//ACCIDENT.CSV</v>
      </c>
      <c r="I8" t="str">
        <f t="shared" si="1"/>
        <v>accident2013 &lt;- read.csv("Raw Data/2013/FARS2013NationalAuxiliaryCSV//FARS2013NationalAuxiliaryCSV//ACCIDENT.CSV")</v>
      </c>
      <c r="J8" t="str">
        <f t="shared" si="2"/>
        <v>accident2013</v>
      </c>
    </row>
    <row r="9" spans="1:16" x14ac:dyDescent="0.25">
      <c r="A9" t="s">
        <v>17</v>
      </c>
      <c r="B9">
        <v>2014</v>
      </c>
      <c r="C9" t="s">
        <v>7</v>
      </c>
      <c r="D9" t="s">
        <v>11</v>
      </c>
      <c r="E9" t="s">
        <v>14</v>
      </c>
      <c r="F9" t="s">
        <v>25</v>
      </c>
      <c r="H9" t="str">
        <f t="shared" si="0"/>
        <v>Raw Data/2014/FARS2014NationalAuxiliaryCSV//FARS2014NationalAuxiliaryCSV//ACCIDENT.CSV</v>
      </c>
      <c r="I9" t="str">
        <f t="shared" si="1"/>
        <v>accident2014 &lt;- read.csv("Raw Data/2014/FARS2014NationalAuxiliaryCSV//FARS2014NationalAuxiliaryCSV//ACCIDENT.CSV")</v>
      </c>
      <c r="J9" t="str">
        <f t="shared" si="2"/>
        <v>accident2014</v>
      </c>
    </row>
    <row r="10" spans="1:16" x14ac:dyDescent="0.25">
      <c r="A10" t="s">
        <v>17</v>
      </c>
      <c r="B10" s="1">
        <v>2015</v>
      </c>
      <c r="C10" t="s">
        <v>7</v>
      </c>
      <c r="D10" t="s">
        <v>11</v>
      </c>
      <c r="E10" t="s">
        <v>14</v>
      </c>
      <c r="F10" t="s">
        <v>25</v>
      </c>
      <c r="H10" t="str">
        <f t="shared" si="0"/>
        <v>Raw Data/2015/FARS2015NationalAuxiliaryCSV//FARS2015NationalAuxiliaryCSV//ACCIDENT.CSV</v>
      </c>
      <c r="I10" t="str">
        <f t="shared" si="1"/>
        <v>accident2015 &lt;- read.csv("Raw Data/2015/FARS2015NationalAuxiliaryCSV//FARS2015NationalAuxiliaryCSV//ACCIDENT.CSV")</v>
      </c>
      <c r="J10" t="str">
        <f t="shared" si="2"/>
        <v>accident2015</v>
      </c>
    </row>
    <row r="11" spans="1:16" x14ac:dyDescent="0.25">
      <c r="A11" t="s">
        <v>17</v>
      </c>
      <c r="B11">
        <v>2016</v>
      </c>
      <c r="C11" t="s">
        <v>7</v>
      </c>
      <c r="D11" t="s">
        <v>11</v>
      </c>
      <c r="E11" t="s">
        <v>14</v>
      </c>
      <c r="F11" t="s">
        <v>25</v>
      </c>
      <c r="H11" t="str">
        <f t="shared" si="0"/>
        <v>Raw Data/2016/FARS2016NationalAuxiliaryCSV//FARS2016NationalAuxiliaryCSV//ACCIDENT.CSV</v>
      </c>
      <c r="I11" t="str">
        <f t="shared" si="1"/>
        <v>accident2016 &lt;- read.csv("Raw Data/2016/FARS2016NationalAuxiliaryCSV//FARS2016NationalAuxiliaryCSV//ACCIDENT.CSV")</v>
      </c>
      <c r="J11" t="str">
        <f t="shared" si="2"/>
        <v>accident2016</v>
      </c>
    </row>
    <row r="12" spans="1:16" x14ac:dyDescent="0.25">
      <c r="A12" t="s">
        <v>17</v>
      </c>
      <c r="B12" s="1">
        <v>2017</v>
      </c>
      <c r="C12" t="s">
        <v>7</v>
      </c>
      <c r="D12" t="s">
        <v>11</v>
      </c>
      <c r="E12" t="s">
        <v>14</v>
      </c>
      <c r="F12" t="s">
        <v>25</v>
      </c>
      <c r="H12" t="str">
        <f t="shared" si="0"/>
        <v>Raw Data/2017/FARS2017NationalAuxiliaryCSV//FARS2017NationalAuxiliaryCSV//ACCIDENT.CSV</v>
      </c>
      <c r="I12" t="str">
        <f t="shared" si="1"/>
        <v>accident2017 &lt;- read.csv("Raw Data/2017/FARS2017NationalAuxiliaryCSV//FARS2017NationalAuxiliaryCSV//ACCIDENT.CSV")</v>
      </c>
      <c r="J12" t="str">
        <f t="shared" si="2"/>
        <v>accident2017</v>
      </c>
    </row>
    <row r="13" spans="1:16" x14ac:dyDescent="0.25">
      <c r="A13" t="s">
        <v>17</v>
      </c>
      <c r="B13">
        <v>2018</v>
      </c>
      <c r="C13" t="s">
        <v>7</v>
      </c>
      <c r="D13" t="s">
        <v>11</v>
      </c>
      <c r="E13" t="s">
        <v>14</v>
      </c>
      <c r="F13" t="s">
        <v>25</v>
      </c>
      <c r="H13" t="str">
        <f t="shared" si="0"/>
        <v>Raw Data/2018/FARS2018NationalAuxiliaryCSV//FARS2018NationalAuxiliaryCSV//ACCIDENT.CSV</v>
      </c>
      <c r="I13" t="str">
        <f t="shared" si="1"/>
        <v>accident2018 &lt;- read.csv("Raw Data/2018/FARS2018NationalAuxiliaryCSV//FARS2018NationalAuxiliaryCSV//ACCIDENT.CSV")</v>
      </c>
      <c r="J13" t="str">
        <f t="shared" si="2"/>
        <v>accident2018</v>
      </c>
    </row>
    <row r="14" spans="1:16" x14ac:dyDescent="0.25">
      <c r="A14" t="s">
        <v>17</v>
      </c>
      <c r="B14" s="1">
        <v>2019</v>
      </c>
      <c r="C14" t="s">
        <v>7</v>
      </c>
      <c r="D14" t="s">
        <v>11</v>
      </c>
      <c r="E14" t="s">
        <v>14</v>
      </c>
      <c r="F14" t="s">
        <v>25</v>
      </c>
      <c r="H14" t="str">
        <f t="shared" si="0"/>
        <v>Raw Data/2019/FARS2019NationalAuxiliaryCSV//FARS2019NationalAuxiliaryCSV//ACCIDENT.CSV</v>
      </c>
      <c r="I14" t="str">
        <f t="shared" si="1"/>
        <v>accident2019 &lt;- read.csv("Raw Data/2019/FARS2019NationalAuxiliaryCSV//FARS2019NationalAuxiliaryCSV//ACCIDENT.CSV")</v>
      </c>
      <c r="J14" t="str">
        <f t="shared" si="2"/>
        <v>accident2019</v>
      </c>
    </row>
    <row r="15" spans="1:16" x14ac:dyDescent="0.25">
      <c r="A15" t="s">
        <v>17</v>
      </c>
      <c r="B15">
        <v>2020</v>
      </c>
      <c r="C15" t="s">
        <v>7</v>
      </c>
      <c r="D15" t="s">
        <v>11</v>
      </c>
      <c r="E15" t="s">
        <v>14</v>
      </c>
      <c r="F15" t="s">
        <v>25</v>
      </c>
      <c r="H15" t="str">
        <f t="shared" si="0"/>
        <v>Raw Data/2020/FARS2020NationalAuxiliaryCSV//FARS2020NationalAuxiliaryCSV//ACCIDENT.CSV</v>
      </c>
      <c r="I15" t="str">
        <f t="shared" si="1"/>
        <v>accident2020 &lt;- read.csv("Raw Data/2020/FARS2020NationalAuxiliaryCSV//FARS2020NationalAuxiliaryCSV//ACCIDENT.CSV")</v>
      </c>
      <c r="J15" t="str">
        <f t="shared" si="2"/>
        <v>accident2020</v>
      </c>
    </row>
    <row r="16" spans="1:16" x14ac:dyDescent="0.25">
      <c r="A16" t="s">
        <v>17</v>
      </c>
      <c r="B16" s="1">
        <v>2021</v>
      </c>
      <c r="C16" t="s">
        <v>7</v>
      </c>
      <c r="D16" t="s">
        <v>11</v>
      </c>
      <c r="E16" t="s">
        <v>14</v>
      </c>
      <c r="F16" t="s">
        <v>25</v>
      </c>
      <c r="H16" t="str">
        <f t="shared" si="0"/>
        <v>Raw Data/2021/FARS2021NationalAuxiliaryCSV//FARS2021NationalAuxiliaryCSV//ACCIDENT.CSV</v>
      </c>
      <c r="I16" t="str">
        <f t="shared" si="1"/>
        <v>accident2021 &lt;- read.csv("Raw Data/2021/FARS2021NationalAuxiliaryCSV//FARS2021NationalAuxiliaryCSV//ACCIDENT.CSV")</v>
      </c>
      <c r="J16" t="str">
        <f t="shared" si="2"/>
        <v>accident2021</v>
      </c>
    </row>
    <row r="17" spans="1:10" x14ac:dyDescent="0.25">
      <c r="A17" t="s">
        <v>17</v>
      </c>
      <c r="B17">
        <v>2022</v>
      </c>
      <c r="C17" t="s">
        <v>7</v>
      </c>
      <c r="D17" t="s">
        <v>11</v>
      </c>
      <c r="E17" t="s">
        <v>14</v>
      </c>
      <c r="F17" t="s">
        <v>25</v>
      </c>
      <c r="H17" t="str">
        <f t="shared" si="0"/>
        <v>Raw Data/2022/FARS2022NationalAuxiliaryCSV//FARS2022NationalAuxiliaryCSV//ACCIDENT.CSV</v>
      </c>
      <c r="I17" t="str">
        <f t="shared" si="1"/>
        <v>accident2022 &lt;- read.csv("Raw Data/2022/FARS2022NationalAuxiliaryCSV//FARS2022NationalAuxiliaryCSV//ACCIDENT.CSV")</v>
      </c>
      <c r="J17" t="str">
        <f t="shared" si="2"/>
        <v>accident2022</v>
      </c>
    </row>
    <row r="18" spans="1:10" x14ac:dyDescent="0.25">
      <c r="A18" t="s">
        <v>17</v>
      </c>
      <c r="B18">
        <v>2023</v>
      </c>
      <c r="C18" t="s">
        <v>7</v>
      </c>
      <c r="D18" t="s">
        <v>11</v>
      </c>
      <c r="E18" t="s">
        <v>14</v>
      </c>
      <c r="F18" t="s">
        <v>25</v>
      </c>
      <c r="H18" t="str">
        <f t="shared" si="0"/>
        <v>Raw Data/2023/FARS2023NationalAuxiliaryCSV//FARS2023NationalAuxiliaryCSV//ACCIDENT.CSV</v>
      </c>
      <c r="I18" t="str">
        <f t="shared" si="1"/>
        <v>accident2023 &lt;- read.csv("Raw Data/2023/FARS2023NationalAuxiliaryCSV//FARS2023NationalAuxiliaryCSV//ACCIDENT.CSV")</v>
      </c>
      <c r="J18" t="str">
        <f t="shared" si="2"/>
        <v>accident2023</v>
      </c>
    </row>
    <row r="19" spans="1:10" x14ac:dyDescent="0.25">
      <c r="A19" t="s">
        <v>26</v>
      </c>
      <c r="B19" s="1">
        <v>2007</v>
      </c>
      <c r="C19" t="s">
        <v>7</v>
      </c>
      <c r="D19" t="s">
        <v>11</v>
      </c>
      <c r="E19" t="s">
        <v>14</v>
      </c>
      <c r="F19" t="s">
        <v>25</v>
      </c>
      <c r="H19" t="str">
        <f t="shared" si="0"/>
        <v>Raw Data/2007/FARS2007NationalAuxiliaryCSV//FARS2007NationalAuxiliaryCSV//ACCIDENT.CSV</v>
      </c>
      <c r="I19" t="str">
        <f t="shared" si="1"/>
        <v>person2007 &lt;- read.csv("Raw Data/2007/FARS2007NationalAuxiliaryCSV//FARS2007NationalAuxiliaryCSV//ACCIDENT.CSV")</v>
      </c>
      <c r="J19" t="str">
        <f t="shared" si="2"/>
        <v>person2007</v>
      </c>
    </row>
    <row r="20" spans="1:10" x14ac:dyDescent="0.25">
      <c r="A20" t="s">
        <v>26</v>
      </c>
      <c r="B20">
        <v>2008</v>
      </c>
      <c r="C20" t="s">
        <v>7</v>
      </c>
      <c r="D20" t="s">
        <v>11</v>
      </c>
      <c r="E20" t="s">
        <v>14</v>
      </c>
      <c r="F20" t="s">
        <v>25</v>
      </c>
      <c r="H20" t="str">
        <f t="shared" si="0"/>
        <v>Raw Data/2008/FARS2008NationalAuxiliaryCSV//FARS2008NationalAuxiliaryCSV//ACCIDENT.CSV</v>
      </c>
      <c r="I20" t="str">
        <f t="shared" si="1"/>
        <v>person2008 &lt;- read.csv("Raw Data/2008/FARS2008NationalAuxiliaryCSV//FARS2008NationalAuxiliaryCSV//ACCIDENT.CSV")</v>
      </c>
      <c r="J20" t="str">
        <f t="shared" si="2"/>
        <v>person2008</v>
      </c>
    </row>
    <row r="21" spans="1:10" x14ac:dyDescent="0.25">
      <c r="A21" t="s">
        <v>26</v>
      </c>
      <c r="B21" s="1">
        <v>2009</v>
      </c>
      <c r="C21" t="s">
        <v>7</v>
      </c>
      <c r="D21" t="s">
        <v>11</v>
      </c>
      <c r="E21" t="s">
        <v>14</v>
      </c>
      <c r="F21" t="s">
        <v>25</v>
      </c>
      <c r="H21" t="str">
        <f t="shared" si="0"/>
        <v>Raw Data/2009/FARS2009NationalAuxiliaryCSV//FARS2009NationalAuxiliaryCSV//ACCIDENT.CSV</v>
      </c>
      <c r="I21" t="str">
        <f t="shared" si="1"/>
        <v>person2009 &lt;- read.csv("Raw Data/2009/FARS2009NationalAuxiliaryCSV//FARS2009NationalAuxiliaryCSV//ACCIDENT.CSV")</v>
      </c>
      <c r="J21" t="str">
        <f t="shared" si="2"/>
        <v>person2009</v>
      </c>
    </row>
    <row r="22" spans="1:10" x14ac:dyDescent="0.25">
      <c r="A22" t="s">
        <v>26</v>
      </c>
      <c r="B22">
        <v>2010</v>
      </c>
      <c r="C22" t="s">
        <v>7</v>
      </c>
      <c r="D22" t="s">
        <v>11</v>
      </c>
      <c r="E22" t="s">
        <v>14</v>
      </c>
      <c r="F22" t="s">
        <v>25</v>
      </c>
      <c r="H22" t="str">
        <f t="shared" si="0"/>
        <v>Raw Data/2010/FARS2010NationalAuxiliaryCSV//FARS2010NationalAuxiliaryCSV//ACCIDENT.CSV</v>
      </c>
      <c r="I22" t="str">
        <f t="shared" si="1"/>
        <v>person2010 &lt;- read.csv("Raw Data/2010/FARS2010NationalAuxiliaryCSV//FARS2010NationalAuxiliaryCSV//ACCIDENT.CSV")</v>
      </c>
      <c r="J22" t="str">
        <f t="shared" si="2"/>
        <v>person2010</v>
      </c>
    </row>
    <row r="23" spans="1:10" x14ac:dyDescent="0.25">
      <c r="A23" t="s">
        <v>26</v>
      </c>
      <c r="B23" s="1">
        <v>2011</v>
      </c>
      <c r="C23" t="s">
        <v>7</v>
      </c>
      <c r="D23" t="s">
        <v>11</v>
      </c>
      <c r="E23" t="s">
        <v>14</v>
      </c>
      <c r="F23" t="s">
        <v>25</v>
      </c>
      <c r="H23" t="str">
        <f t="shared" si="0"/>
        <v>Raw Data/2011/FARS2011NationalAuxiliaryCSV//FARS2011NationalAuxiliaryCSV//ACCIDENT.CSV</v>
      </c>
      <c r="I23" t="str">
        <f t="shared" si="1"/>
        <v>person2011 &lt;- read.csv("Raw Data/2011/FARS2011NationalAuxiliaryCSV//FARS2011NationalAuxiliaryCSV//ACCIDENT.CSV")</v>
      </c>
      <c r="J23" t="str">
        <f t="shared" si="2"/>
        <v>person2011</v>
      </c>
    </row>
    <row r="24" spans="1:10" x14ac:dyDescent="0.25">
      <c r="A24" t="s">
        <v>26</v>
      </c>
      <c r="B24">
        <v>2012</v>
      </c>
      <c r="C24" t="s">
        <v>7</v>
      </c>
      <c r="D24" t="s">
        <v>11</v>
      </c>
      <c r="E24" t="s">
        <v>14</v>
      </c>
      <c r="F24" t="s">
        <v>25</v>
      </c>
      <c r="H24" t="str">
        <f t="shared" si="0"/>
        <v>Raw Data/2012/FARS2012NationalAuxiliaryCSV//FARS2012NationalAuxiliaryCSV//ACCIDENT.CSV</v>
      </c>
      <c r="I24" t="str">
        <f t="shared" si="1"/>
        <v>person2012 &lt;- read.csv("Raw Data/2012/FARS2012NationalAuxiliaryCSV//FARS2012NationalAuxiliaryCSV//ACCIDENT.CSV")</v>
      </c>
      <c r="J24" t="str">
        <f t="shared" si="2"/>
        <v>person2012</v>
      </c>
    </row>
    <row r="25" spans="1:10" x14ac:dyDescent="0.25">
      <c r="A25" t="s">
        <v>26</v>
      </c>
      <c r="B25" s="1">
        <v>2013</v>
      </c>
      <c r="C25" t="s">
        <v>7</v>
      </c>
      <c r="D25" t="s">
        <v>11</v>
      </c>
      <c r="E25" t="s">
        <v>14</v>
      </c>
      <c r="F25" t="s">
        <v>25</v>
      </c>
      <c r="H25" t="str">
        <f t="shared" si="0"/>
        <v>Raw Data/2013/FARS2013NationalAuxiliaryCSV//FARS2013NationalAuxiliaryCSV//ACCIDENT.CSV</v>
      </c>
      <c r="I25" t="str">
        <f t="shared" si="1"/>
        <v>person2013 &lt;- read.csv("Raw Data/2013/FARS2013NationalAuxiliaryCSV//FARS2013NationalAuxiliaryCSV//ACCIDENT.CSV")</v>
      </c>
      <c r="J25" t="str">
        <f t="shared" si="2"/>
        <v>person2013</v>
      </c>
    </row>
    <row r="26" spans="1:10" x14ac:dyDescent="0.25">
      <c r="A26" t="s">
        <v>26</v>
      </c>
      <c r="B26">
        <v>2014</v>
      </c>
      <c r="C26" t="s">
        <v>7</v>
      </c>
      <c r="D26" t="s">
        <v>11</v>
      </c>
      <c r="E26" t="s">
        <v>14</v>
      </c>
      <c r="F26" t="s">
        <v>25</v>
      </c>
      <c r="H26" t="str">
        <f t="shared" si="0"/>
        <v>Raw Data/2014/FARS2014NationalAuxiliaryCSV//FARS2014NationalAuxiliaryCSV//ACCIDENT.CSV</v>
      </c>
      <c r="I26" t="str">
        <f t="shared" si="1"/>
        <v>person2014 &lt;- read.csv("Raw Data/2014/FARS2014NationalAuxiliaryCSV//FARS2014NationalAuxiliaryCSV//ACCIDENT.CSV")</v>
      </c>
      <c r="J26" t="str">
        <f t="shared" si="2"/>
        <v>person2014</v>
      </c>
    </row>
    <row r="27" spans="1:10" x14ac:dyDescent="0.25">
      <c r="A27" t="s">
        <v>26</v>
      </c>
      <c r="B27" s="1">
        <v>2015</v>
      </c>
      <c r="C27" t="s">
        <v>7</v>
      </c>
      <c r="D27" t="s">
        <v>11</v>
      </c>
      <c r="E27" t="s">
        <v>14</v>
      </c>
      <c r="F27" t="s">
        <v>25</v>
      </c>
      <c r="H27" t="str">
        <f t="shared" si="0"/>
        <v>Raw Data/2015/FARS2015NationalAuxiliaryCSV//FARS2015NationalAuxiliaryCSV//ACCIDENT.CSV</v>
      </c>
      <c r="I27" t="str">
        <f t="shared" si="1"/>
        <v>person2015 &lt;- read.csv("Raw Data/2015/FARS2015NationalAuxiliaryCSV//FARS2015NationalAuxiliaryCSV//ACCIDENT.CSV")</v>
      </c>
      <c r="J27" t="str">
        <f t="shared" si="2"/>
        <v>person2015</v>
      </c>
    </row>
    <row r="28" spans="1:10" x14ac:dyDescent="0.25">
      <c r="A28" t="s">
        <v>26</v>
      </c>
      <c r="B28">
        <v>2016</v>
      </c>
      <c r="C28" t="s">
        <v>7</v>
      </c>
      <c r="D28" t="s">
        <v>11</v>
      </c>
      <c r="E28" t="s">
        <v>14</v>
      </c>
      <c r="F28" t="s">
        <v>25</v>
      </c>
      <c r="H28" t="str">
        <f t="shared" si="0"/>
        <v>Raw Data/2016/FARS2016NationalAuxiliaryCSV//FARS2016NationalAuxiliaryCSV//ACCIDENT.CSV</v>
      </c>
      <c r="I28" t="str">
        <f t="shared" si="1"/>
        <v>person2016 &lt;- read.csv("Raw Data/2016/FARS2016NationalAuxiliaryCSV//FARS2016NationalAuxiliaryCSV//ACCIDENT.CSV")</v>
      </c>
      <c r="J28" t="str">
        <f t="shared" si="2"/>
        <v>person2016</v>
      </c>
    </row>
    <row r="29" spans="1:10" x14ac:dyDescent="0.25">
      <c r="A29" t="s">
        <v>26</v>
      </c>
      <c r="B29" s="1">
        <v>2017</v>
      </c>
      <c r="C29" t="s">
        <v>7</v>
      </c>
      <c r="D29" t="s">
        <v>11</v>
      </c>
      <c r="E29" t="s">
        <v>14</v>
      </c>
      <c r="F29" t="s">
        <v>25</v>
      </c>
      <c r="H29" t="str">
        <f t="shared" si="0"/>
        <v>Raw Data/2017/FARS2017NationalAuxiliaryCSV//FARS2017NationalAuxiliaryCSV//ACCIDENT.CSV</v>
      </c>
      <c r="I29" t="str">
        <f t="shared" si="1"/>
        <v>person2017 &lt;- read.csv("Raw Data/2017/FARS2017NationalAuxiliaryCSV//FARS2017NationalAuxiliaryCSV//ACCIDENT.CSV")</v>
      </c>
      <c r="J29" t="str">
        <f t="shared" si="2"/>
        <v>person2017</v>
      </c>
    </row>
    <row r="30" spans="1:10" x14ac:dyDescent="0.25">
      <c r="A30" t="s">
        <v>26</v>
      </c>
      <c r="B30">
        <v>2018</v>
      </c>
      <c r="C30" t="s">
        <v>7</v>
      </c>
      <c r="D30" t="s">
        <v>11</v>
      </c>
      <c r="E30" t="s">
        <v>14</v>
      </c>
      <c r="F30" t="s">
        <v>25</v>
      </c>
      <c r="H30" t="str">
        <f t="shared" si="0"/>
        <v>Raw Data/2018/FARS2018NationalAuxiliaryCSV//FARS2018NationalAuxiliaryCSV//ACCIDENT.CSV</v>
      </c>
      <c r="I30" t="str">
        <f t="shared" si="1"/>
        <v>person2018 &lt;- read.csv("Raw Data/2018/FARS2018NationalAuxiliaryCSV//FARS2018NationalAuxiliaryCSV//ACCIDENT.CSV")</v>
      </c>
      <c r="J30" t="str">
        <f t="shared" si="2"/>
        <v>person2018</v>
      </c>
    </row>
    <row r="31" spans="1:10" x14ac:dyDescent="0.25">
      <c r="A31" t="s">
        <v>26</v>
      </c>
      <c r="B31" s="1">
        <v>2019</v>
      </c>
      <c r="C31" t="s">
        <v>7</v>
      </c>
      <c r="D31" t="s">
        <v>11</v>
      </c>
      <c r="E31" t="s">
        <v>14</v>
      </c>
      <c r="F31" t="s">
        <v>25</v>
      </c>
      <c r="H31" t="str">
        <f t="shared" si="0"/>
        <v>Raw Data/2019/FARS2019NationalAuxiliaryCSV//FARS2019NationalAuxiliaryCSV//ACCIDENT.CSV</v>
      </c>
      <c r="I31" t="str">
        <f t="shared" si="1"/>
        <v>person2019 &lt;- read.csv("Raw Data/2019/FARS2019NationalAuxiliaryCSV//FARS2019NationalAuxiliaryCSV//ACCIDENT.CSV")</v>
      </c>
      <c r="J31" t="str">
        <f t="shared" si="2"/>
        <v>person2019</v>
      </c>
    </row>
    <row r="32" spans="1:10" x14ac:dyDescent="0.25">
      <c r="A32" t="s">
        <v>26</v>
      </c>
      <c r="B32">
        <v>2020</v>
      </c>
      <c r="C32" t="s">
        <v>7</v>
      </c>
      <c r="D32" t="s">
        <v>11</v>
      </c>
      <c r="E32" t="s">
        <v>14</v>
      </c>
      <c r="F32" t="s">
        <v>25</v>
      </c>
      <c r="H32" t="str">
        <f t="shared" si="0"/>
        <v>Raw Data/2020/FARS2020NationalAuxiliaryCSV//FARS2020NationalAuxiliaryCSV//ACCIDENT.CSV</v>
      </c>
      <c r="I32" t="str">
        <f t="shared" si="1"/>
        <v>person2020 &lt;- read.csv("Raw Data/2020/FARS2020NationalAuxiliaryCSV//FARS2020NationalAuxiliaryCSV//ACCIDENT.CSV")</v>
      </c>
      <c r="J32" t="str">
        <f t="shared" si="2"/>
        <v>person2020</v>
      </c>
    </row>
    <row r="33" spans="1:10" x14ac:dyDescent="0.25">
      <c r="A33" t="s">
        <v>26</v>
      </c>
      <c r="B33" s="1">
        <v>2021</v>
      </c>
      <c r="C33" t="s">
        <v>7</v>
      </c>
      <c r="D33" t="s">
        <v>11</v>
      </c>
      <c r="E33" t="s">
        <v>14</v>
      </c>
      <c r="F33" t="s">
        <v>25</v>
      </c>
      <c r="H33" t="str">
        <f t="shared" si="0"/>
        <v>Raw Data/2021/FARS2021NationalAuxiliaryCSV//FARS2021NationalAuxiliaryCSV//ACCIDENT.CSV</v>
      </c>
      <c r="I33" t="str">
        <f t="shared" si="1"/>
        <v>person2021 &lt;- read.csv("Raw Data/2021/FARS2021NationalAuxiliaryCSV//FARS2021NationalAuxiliaryCSV//ACCIDENT.CSV")</v>
      </c>
      <c r="J33" t="str">
        <f t="shared" si="2"/>
        <v>person2021</v>
      </c>
    </row>
    <row r="34" spans="1:10" x14ac:dyDescent="0.25">
      <c r="A34" t="s">
        <v>26</v>
      </c>
      <c r="B34">
        <v>2022</v>
      </c>
      <c r="C34" t="s">
        <v>7</v>
      </c>
      <c r="D34" t="s">
        <v>11</v>
      </c>
      <c r="E34" t="s">
        <v>14</v>
      </c>
      <c r="F34" t="s">
        <v>25</v>
      </c>
      <c r="H34" t="str">
        <f t="shared" si="0"/>
        <v>Raw Data/2022/FARS2022NationalAuxiliaryCSV//FARS2022NationalAuxiliaryCSV//ACCIDENT.CSV</v>
      </c>
      <c r="I34" t="str">
        <f t="shared" si="1"/>
        <v>person2022 &lt;- read.csv("Raw Data/2022/FARS2022NationalAuxiliaryCSV//FARS2022NationalAuxiliaryCSV//ACCIDENT.CSV")</v>
      </c>
      <c r="J34" t="str">
        <f t="shared" si="2"/>
        <v>person2022</v>
      </c>
    </row>
    <row r="35" spans="1:10" x14ac:dyDescent="0.25">
      <c r="A35" t="s">
        <v>26</v>
      </c>
      <c r="B35">
        <v>2023</v>
      </c>
      <c r="C35" t="s">
        <v>7</v>
      </c>
      <c r="D35" t="s">
        <v>11</v>
      </c>
      <c r="E35" t="s">
        <v>14</v>
      </c>
      <c r="F35" t="s">
        <v>25</v>
      </c>
      <c r="H35" t="str">
        <f t="shared" si="0"/>
        <v>Raw Data/2023/FARS2023NationalAuxiliaryCSV//FARS2023NationalAuxiliaryCSV//ACCIDENT.CSV</v>
      </c>
      <c r="I35" t="str">
        <f t="shared" si="1"/>
        <v>person2023 &lt;- read.csv("Raw Data/2023/FARS2023NationalAuxiliaryCSV//FARS2023NationalAuxiliaryCSV//ACCIDENT.CSV")</v>
      </c>
      <c r="J35" t="str">
        <f t="shared" si="2"/>
        <v>person2023</v>
      </c>
    </row>
    <row r="36" spans="1:10" x14ac:dyDescent="0.25">
      <c r="A36" t="s">
        <v>27</v>
      </c>
      <c r="B36" s="1">
        <v>2007</v>
      </c>
      <c r="C36" t="s">
        <v>7</v>
      </c>
      <c r="D36" t="s">
        <v>11</v>
      </c>
      <c r="E36" t="s">
        <v>14</v>
      </c>
      <c r="F36" t="s">
        <v>25</v>
      </c>
      <c r="H36" t="str">
        <f t="shared" si="0"/>
        <v>Raw Data/2007/FARS2007NationalAuxiliaryCSV//FARS2007NationalAuxiliaryCSV//ACCIDENT.CSV</v>
      </c>
      <c r="I36" t="str">
        <f t="shared" si="1"/>
        <v>vehicle2007 &lt;- read.csv("Raw Data/2007/FARS2007NationalAuxiliaryCSV//FARS2007NationalAuxiliaryCSV//ACCIDENT.CSV")</v>
      </c>
      <c r="J36" t="str">
        <f t="shared" si="2"/>
        <v>vehicle2007</v>
      </c>
    </row>
    <row r="37" spans="1:10" x14ac:dyDescent="0.25">
      <c r="A37" t="s">
        <v>27</v>
      </c>
      <c r="B37">
        <v>2008</v>
      </c>
      <c r="C37" t="s">
        <v>7</v>
      </c>
      <c r="D37" t="s">
        <v>11</v>
      </c>
      <c r="E37" t="s">
        <v>14</v>
      </c>
      <c r="F37" t="s">
        <v>25</v>
      </c>
      <c r="H37" t="str">
        <f t="shared" si="0"/>
        <v>Raw Data/2008/FARS2008NationalAuxiliaryCSV//FARS2008NationalAuxiliaryCSV//ACCIDENT.CSV</v>
      </c>
      <c r="I37" t="str">
        <f t="shared" si="1"/>
        <v>vehicle2008 &lt;- read.csv("Raw Data/2008/FARS2008NationalAuxiliaryCSV//FARS2008NationalAuxiliaryCSV//ACCIDENT.CSV")</v>
      </c>
      <c r="J37" t="str">
        <f t="shared" si="2"/>
        <v>vehicle2008</v>
      </c>
    </row>
    <row r="38" spans="1:10" x14ac:dyDescent="0.25">
      <c r="A38" t="s">
        <v>27</v>
      </c>
      <c r="B38" s="1">
        <v>2009</v>
      </c>
      <c r="C38" t="s">
        <v>7</v>
      </c>
      <c r="D38" t="s">
        <v>11</v>
      </c>
      <c r="E38" t="s">
        <v>14</v>
      </c>
      <c r="F38" t="s">
        <v>25</v>
      </c>
      <c r="H38" t="str">
        <f t="shared" si="0"/>
        <v>Raw Data/2009/FARS2009NationalAuxiliaryCSV//FARS2009NationalAuxiliaryCSV//ACCIDENT.CSV</v>
      </c>
      <c r="I38" t="str">
        <f t="shared" si="1"/>
        <v>vehicle2009 &lt;- read.csv("Raw Data/2009/FARS2009NationalAuxiliaryCSV//FARS2009NationalAuxiliaryCSV//ACCIDENT.CSV")</v>
      </c>
      <c r="J38" t="str">
        <f t="shared" si="2"/>
        <v>vehicle2009</v>
      </c>
    </row>
    <row r="39" spans="1:10" x14ac:dyDescent="0.25">
      <c r="A39" t="s">
        <v>27</v>
      </c>
      <c r="B39">
        <v>2010</v>
      </c>
      <c r="C39" t="s">
        <v>7</v>
      </c>
      <c r="D39" t="s">
        <v>11</v>
      </c>
      <c r="E39" t="s">
        <v>14</v>
      </c>
      <c r="F39" t="s">
        <v>25</v>
      </c>
      <c r="H39" t="str">
        <f t="shared" si="0"/>
        <v>Raw Data/2010/FARS2010NationalAuxiliaryCSV//FARS2010NationalAuxiliaryCSV//ACCIDENT.CSV</v>
      </c>
      <c r="I39" t="str">
        <f t="shared" si="1"/>
        <v>vehicle2010 &lt;- read.csv("Raw Data/2010/FARS2010NationalAuxiliaryCSV//FARS2010NationalAuxiliaryCSV//ACCIDENT.CSV")</v>
      </c>
      <c r="J39" t="str">
        <f t="shared" si="2"/>
        <v>vehicle2010</v>
      </c>
    </row>
    <row r="40" spans="1:10" x14ac:dyDescent="0.25">
      <c r="A40" t="s">
        <v>27</v>
      </c>
      <c r="B40" s="1">
        <v>2011</v>
      </c>
      <c r="C40" t="s">
        <v>7</v>
      </c>
      <c r="D40" t="s">
        <v>11</v>
      </c>
      <c r="E40" t="s">
        <v>14</v>
      </c>
      <c r="F40" t="s">
        <v>25</v>
      </c>
      <c r="H40" t="str">
        <f t="shared" si="0"/>
        <v>Raw Data/2011/FARS2011NationalAuxiliaryCSV//FARS2011NationalAuxiliaryCSV//ACCIDENT.CSV</v>
      </c>
      <c r="I40" t="str">
        <f t="shared" si="1"/>
        <v>vehicle2011 &lt;- read.csv("Raw Data/2011/FARS2011NationalAuxiliaryCSV//FARS2011NationalAuxiliaryCSV//ACCIDENT.CSV")</v>
      </c>
      <c r="J40" t="str">
        <f t="shared" si="2"/>
        <v>vehicle2011</v>
      </c>
    </row>
    <row r="41" spans="1:10" x14ac:dyDescent="0.25">
      <c r="A41" t="s">
        <v>27</v>
      </c>
      <c r="B41">
        <v>2012</v>
      </c>
      <c r="C41" t="s">
        <v>7</v>
      </c>
      <c r="D41" t="s">
        <v>11</v>
      </c>
      <c r="E41" t="s">
        <v>14</v>
      </c>
      <c r="F41" t="s">
        <v>25</v>
      </c>
      <c r="H41" t="str">
        <f t="shared" si="0"/>
        <v>Raw Data/2012/FARS2012NationalAuxiliaryCSV//FARS2012NationalAuxiliaryCSV//ACCIDENT.CSV</v>
      </c>
      <c r="I41" t="str">
        <f t="shared" si="1"/>
        <v>vehicle2012 &lt;- read.csv("Raw Data/2012/FARS2012NationalAuxiliaryCSV//FARS2012NationalAuxiliaryCSV//ACCIDENT.CSV")</v>
      </c>
      <c r="J41" t="str">
        <f t="shared" si="2"/>
        <v>vehicle2012</v>
      </c>
    </row>
    <row r="42" spans="1:10" x14ac:dyDescent="0.25">
      <c r="A42" t="s">
        <v>27</v>
      </c>
      <c r="B42" s="1">
        <v>2013</v>
      </c>
      <c r="C42" t="s">
        <v>7</v>
      </c>
      <c r="D42" t="s">
        <v>11</v>
      </c>
      <c r="E42" t="s">
        <v>14</v>
      </c>
      <c r="F42" t="s">
        <v>25</v>
      </c>
      <c r="H42" t="str">
        <f t="shared" si="0"/>
        <v>Raw Data/2013/FARS2013NationalAuxiliaryCSV//FARS2013NationalAuxiliaryCSV//ACCIDENT.CSV</v>
      </c>
      <c r="I42" t="str">
        <f t="shared" si="1"/>
        <v>vehicle2013 &lt;- read.csv("Raw Data/2013/FARS2013NationalAuxiliaryCSV//FARS2013NationalAuxiliaryCSV//ACCIDENT.CSV")</v>
      </c>
      <c r="J42" t="str">
        <f t="shared" si="2"/>
        <v>vehicle2013</v>
      </c>
    </row>
    <row r="43" spans="1:10" x14ac:dyDescent="0.25">
      <c r="A43" t="s">
        <v>27</v>
      </c>
      <c r="B43">
        <v>2014</v>
      </c>
      <c r="C43" t="s">
        <v>7</v>
      </c>
      <c r="D43" t="s">
        <v>11</v>
      </c>
      <c r="E43" t="s">
        <v>14</v>
      </c>
      <c r="F43" t="s">
        <v>25</v>
      </c>
      <c r="H43" t="str">
        <f t="shared" si="0"/>
        <v>Raw Data/2014/FARS2014NationalAuxiliaryCSV//FARS2014NationalAuxiliaryCSV//ACCIDENT.CSV</v>
      </c>
      <c r="I43" t="str">
        <f t="shared" si="1"/>
        <v>vehicle2014 &lt;- read.csv("Raw Data/2014/FARS2014NationalAuxiliaryCSV//FARS2014NationalAuxiliaryCSV//ACCIDENT.CSV")</v>
      </c>
      <c r="J43" t="str">
        <f t="shared" si="2"/>
        <v>vehicle2014</v>
      </c>
    </row>
    <row r="44" spans="1:10" x14ac:dyDescent="0.25">
      <c r="A44" t="s">
        <v>27</v>
      </c>
      <c r="B44" s="1">
        <v>2015</v>
      </c>
      <c r="C44" t="s">
        <v>7</v>
      </c>
      <c r="D44" t="s">
        <v>11</v>
      </c>
      <c r="E44" t="s">
        <v>14</v>
      </c>
      <c r="F44" t="s">
        <v>25</v>
      </c>
      <c r="H44" t="str">
        <f t="shared" si="0"/>
        <v>Raw Data/2015/FARS2015NationalAuxiliaryCSV//FARS2015NationalAuxiliaryCSV//ACCIDENT.CSV</v>
      </c>
      <c r="I44" t="str">
        <f t="shared" si="1"/>
        <v>vehicle2015 &lt;- read.csv("Raw Data/2015/FARS2015NationalAuxiliaryCSV//FARS2015NationalAuxiliaryCSV//ACCIDENT.CSV")</v>
      </c>
      <c r="J44" t="str">
        <f t="shared" si="2"/>
        <v>vehicle2015</v>
      </c>
    </row>
    <row r="45" spans="1:10" x14ac:dyDescent="0.25">
      <c r="A45" t="s">
        <v>27</v>
      </c>
      <c r="B45">
        <v>2016</v>
      </c>
      <c r="C45" t="s">
        <v>7</v>
      </c>
      <c r="D45" t="s">
        <v>11</v>
      </c>
      <c r="E45" t="s">
        <v>14</v>
      </c>
      <c r="F45" t="s">
        <v>25</v>
      </c>
      <c r="H45" t="str">
        <f t="shared" si="0"/>
        <v>Raw Data/2016/FARS2016NationalAuxiliaryCSV//FARS2016NationalAuxiliaryCSV//ACCIDENT.CSV</v>
      </c>
      <c r="I45" t="str">
        <f t="shared" si="1"/>
        <v>vehicle2016 &lt;- read.csv("Raw Data/2016/FARS2016NationalAuxiliaryCSV//FARS2016NationalAuxiliaryCSV//ACCIDENT.CSV")</v>
      </c>
      <c r="J45" t="str">
        <f t="shared" si="2"/>
        <v>vehicle2016</v>
      </c>
    </row>
    <row r="46" spans="1:10" x14ac:dyDescent="0.25">
      <c r="A46" t="s">
        <v>27</v>
      </c>
      <c r="B46" s="1">
        <v>2017</v>
      </c>
      <c r="C46" t="s">
        <v>7</v>
      </c>
      <c r="D46" t="s">
        <v>11</v>
      </c>
      <c r="E46" t="s">
        <v>14</v>
      </c>
      <c r="F46" t="s">
        <v>25</v>
      </c>
      <c r="H46" t="str">
        <f t="shared" si="0"/>
        <v>Raw Data/2017/FARS2017NationalAuxiliaryCSV//FARS2017NationalAuxiliaryCSV//ACCIDENT.CSV</v>
      </c>
      <c r="I46" t="str">
        <f t="shared" si="1"/>
        <v>vehicle2017 &lt;- read.csv("Raw Data/2017/FARS2017NationalAuxiliaryCSV//FARS2017NationalAuxiliaryCSV//ACCIDENT.CSV")</v>
      </c>
      <c r="J46" t="str">
        <f t="shared" si="2"/>
        <v>vehicle2017</v>
      </c>
    </row>
    <row r="47" spans="1:10" x14ac:dyDescent="0.25">
      <c r="A47" t="s">
        <v>27</v>
      </c>
      <c r="B47">
        <v>2018</v>
      </c>
      <c r="C47" t="s">
        <v>7</v>
      </c>
      <c r="D47" t="s">
        <v>11</v>
      </c>
      <c r="E47" t="s">
        <v>14</v>
      </c>
      <c r="F47" t="s">
        <v>25</v>
      </c>
      <c r="H47" t="str">
        <f t="shared" si="0"/>
        <v>Raw Data/2018/FARS2018NationalAuxiliaryCSV//FARS2018NationalAuxiliaryCSV//ACCIDENT.CSV</v>
      </c>
      <c r="I47" t="str">
        <f t="shared" si="1"/>
        <v>vehicle2018 &lt;- read.csv("Raw Data/2018/FARS2018NationalAuxiliaryCSV//FARS2018NationalAuxiliaryCSV//ACCIDENT.CSV")</v>
      </c>
      <c r="J47" t="str">
        <f t="shared" si="2"/>
        <v>vehicle2018</v>
      </c>
    </row>
    <row r="48" spans="1:10" x14ac:dyDescent="0.25">
      <c r="A48" t="s">
        <v>27</v>
      </c>
      <c r="B48" s="1">
        <v>2019</v>
      </c>
      <c r="C48" t="s">
        <v>7</v>
      </c>
      <c r="D48" t="s">
        <v>11</v>
      </c>
      <c r="E48" t="s">
        <v>14</v>
      </c>
      <c r="F48" t="s">
        <v>25</v>
      </c>
      <c r="H48" t="str">
        <f t="shared" si="0"/>
        <v>Raw Data/2019/FARS2019NationalAuxiliaryCSV//FARS2019NationalAuxiliaryCSV//ACCIDENT.CSV</v>
      </c>
      <c r="I48" t="str">
        <f t="shared" si="1"/>
        <v>vehicle2019 &lt;- read.csv("Raw Data/2019/FARS2019NationalAuxiliaryCSV//FARS2019NationalAuxiliaryCSV//ACCIDENT.CSV")</v>
      </c>
      <c r="J48" t="str">
        <f t="shared" si="2"/>
        <v>vehicle2019</v>
      </c>
    </row>
    <row r="49" spans="1:10" x14ac:dyDescent="0.25">
      <c r="A49" t="s">
        <v>27</v>
      </c>
      <c r="B49">
        <v>2020</v>
      </c>
      <c r="C49" t="s">
        <v>7</v>
      </c>
      <c r="D49" t="s">
        <v>11</v>
      </c>
      <c r="E49" t="s">
        <v>14</v>
      </c>
      <c r="F49" t="s">
        <v>25</v>
      </c>
      <c r="H49" t="str">
        <f t="shared" si="0"/>
        <v>Raw Data/2020/FARS2020NationalAuxiliaryCSV//FARS2020NationalAuxiliaryCSV//ACCIDENT.CSV</v>
      </c>
      <c r="I49" t="str">
        <f t="shared" si="1"/>
        <v>vehicle2020 &lt;- read.csv("Raw Data/2020/FARS2020NationalAuxiliaryCSV//FARS2020NationalAuxiliaryCSV//ACCIDENT.CSV")</v>
      </c>
      <c r="J49" t="str">
        <f t="shared" si="2"/>
        <v>vehicle2020</v>
      </c>
    </row>
    <row r="50" spans="1:10" x14ac:dyDescent="0.25">
      <c r="A50" t="s">
        <v>27</v>
      </c>
      <c r="B50" s="1">
        <v>2021</v>
      </c>
      <c r="C50" t="s">
        <v>7</v>
      </c>
      <c r="D50" t="s">
        <v>11</v>
      </c>
      <c r="E50" t="s">
        <v>14</v>
      </c>
      <c r="F50" t="s">
        <v>25</v>
      </c>
      <c r="H50" t="str">
        <f t="shared" si="0"/>
        <v>Raw Data/2021/FARS2021NationalAuxiliaryCSV//FARS2021NationalAuxiliaryCSV//ACCIDENT.CSV</v>
      </c>
      <c r="I50" t="str">
        <f t="shared" si="1"/>
        <v>vehicle2021 &lt;- read.csv("Raw Data/2021/FARS2021NationalAuxiliaryCSV//FARS2021NationalAuxiliaryCSV//ACCIDENT.CSV")</v>
      </c>
      <c r="J50" t="str">
        <f t="shared" si="2"/>
        <v>vehicle2021</v>
      </c>
    </row>
    <row r="51" spans="1:10" x14ac:dyDescent="0.25">
      <c r="A51" t="s">
        <v>27</v>
      </c>
      <c r="B51">
        <v>2022</v>
      </c>
      <c r="C51" t="s">
        <v>7</v>
      </c>
      <c r="D51" t="s">
        <v>11</v>
      </c>
      <c r="E51" t="s">
        <v>14</v>
      </c>
      <c r="F51" t="s">
        <v>25</v>
      </c>
      <c r="H51" t="str">
        <f t="shared" si="0"/>
        <v>Raw Data/2022/FARS2022NationalAuxiliaryCSV//FARS2022NationalAuxiliaryCSV//ACCIDENT.CSV</v>
      </c>
      <c r="I51" t="str">
        <f t="shared" si="1"/>
        <v>vehicle2022 &lt;- read.csv("Raw Data/2022/FARS2022NationalAuxiliaryCSV//FARS2022NationalAuxiliaryCSV//ACCIDENT.CSV")</v>
      </c>
      <c r="J51" t="str">
        <f t="shared" si="2"/>
        <v>vehicle2022</v>
      </c>
    </row>
    <row r="52" spans="1:10" x14ac:dyDescent="0.25">
      <c r="A52" t="s">
        <v>27</v>
      </c>
      <c r="B52">
        <v>2023</v>
      </c>
      <c r="C52" t="s">
        <v>7</v>
      </c>
      <c r="D52" t="s">
        <v>11</v>
      </c>
      <c r="E52" t="s">
        <v>14</v>
      </c>
      <c r="F52" t="s">
        <v>25</v>
      </c>
      <c r="H52" t="str">
        <f t="shared" si="0"/>
        <v>Raw Data/2023/FARS2023NationalAuxiliaryCSV//FARS2023NationalAuxiliaryCSV//ACCIDENT.CSV</v>
      </c>
      <c r="I52" t="str">
        <f t="shared" si="1"/>
        <v>vehicle2023 &lt;- read.csv("Raw Data/2023/FARS2023NationalAuxiliaryCSV//FARS2023NationalAuxiliaryCSV//ACCIDENT.CSV")</v>
      </c>
      <c r="J52" t="str">
        <f t="shared" si="2"/>
        <v>vehicle2023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AUX</vt:lpstr>
      <vt:lpstr>National</vt:lpstr>
    </vt:vector>
  </TitlesOfParts>
  <Company>University of Minnesota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Torralba</dc:creator>
  <cp:lastModifiedBy>Patrick Torralba</cp:lastModifiedBy>
  <dcterms:created xsi:type="dcterms:W3CDTF">2026-05-04T20:42:37Z</dcterms:created>
  <dcterms:modified xsi:type="dcterms:W3CDTF">2026-05-04T22:04:41Z</dcterms:modified>
</cp:coreProperties>
</file>