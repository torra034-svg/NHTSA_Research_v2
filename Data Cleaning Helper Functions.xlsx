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rra034\Documents\githubb\NHTSA_Research_v2\"/>
    </mc:Choice>
  </mc:AlternateContent>
  <xr:revisionPtr revIDLastSave="0" documentId="13_ncr:1_{675D3BE2-9626-46C3-99F4-A6F0EC38C183}" xr6:coauthVersionLast="47" xr6:coauthVersionMax="47" xr10:uidLastSave="{00000000-0000-0000-0000-000000000000}"/>
  <bookViews>
    <workbookView xWindow="28680" yWindow="-120" windowWidth="29040" windowHeight="15720" activeTab="1" xr2:uid="{FACB296B-8AC4-4D09-B580-086A78C3F6BA}"/>
  </bookViews>
  <sheets>
    <sheet name="AUX" sheetId="1" r:id="rId1"/>
    <sheet name="Nation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N2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36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19" i="2"/>
  <c r="O19" i="2" s="1"/>
  <c r="D3" i="2"/>
  <c r="O3" i="2" s="1"/>
  <c r="D4" i="2"/>
  <c r="O4" i="2" s="1"/>
  <c r="D5" i="2"/>
  <c r="O5" i="2" s="1"/>
  <c r="D6" i="2"/>
  <c r="O6" i="2" s="1"/>
  <c r="D7" i="2"/>
  <c r="O7" i="2" s="1"/>
  <c r="D8" i="2"/>
  <c r="O8" i="2" s="1"/>
  <c r="D9" i="2"/>
  <c r="O9" i="2" s="1"/>
  <c r="D10" i="2"/>
  <c r="O10" i="2" s="1"/>
  <c r="D11" i="2"/>
  <c r="O11" i="2" s="1"/>
  <c r="D12" i="2"/>
  <c r="O12" i="2" s="1"/>
  <c r="D13" i="2"/>
  <c r="O13" i="2" s="1"/>
  <c r="D14" i="2"/>
  <c r="O14" i="2" s="1"/>
  <c r="D15" i="2"/>
  <c r="O15" i="2" s="1"/>
  <c r="D16" i="2"/>
  <c r="O16" i="2" s="1"/>
  <c r="D17" i="2"/>
  <c r="O17" i="2" s="1"/>
  <c r="D18" i="2"/>
  <c r="O18" i="2" s="1"/>
  <c r="D2" i="2"/>
  <c r="O2" i="2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52" i="2"/>
  <c r="C20" i="2"/>
  <c r="N19" i="2" s="1"/>
  <c r="C21" i="2"/>
  <c r="N20" i="2" s="1"/>
  <c r="C22" i="2"/>
  <c r="N21" i="2" s="1"/>
  <c r="C23" i="2"/>
  <c r="N22" i="2" s="1"/>
  <c r="C24" i="2"/>
  <c r="N23" i="2" s="1"/>
  <c r="C25" i="2"/>
  <c r="N24" i="2" s="1"/>
  <c r="C26" i="2"/>
  <c r="N25" i="2" s="1"/>
  <c r="C27" i="2"/>
  <c r="N26" i="2" s="1"/>
  <c r="C28" i="2"/>
  <c r="N27" i="2" s="1"/>
  <c r="C29" i="2"/>
  <c r="N28" i="2" s="1"/>
  <c r="C30" i="2"/>
  <c r="N29" i="2" s="1"/>
  <c r="C31" i="2"/>
  <c r="N30" i="2" s="1"/>
  <c r="C32" i="2"/>
  <c r="N31" i="2" s="1"/>
  <c r="C33" i="2"/>
  <c r="N32" i="2" s="1"/>
  <c r="C34" i="2"/>
  <c r="N33" i="2" s="1"/>
  <c r="C35" i="2"/>
  <c r="N34" i="2" s="1"/>
  <c r="C36" i="2"/>
  <c r="N35" i="2" s="1"/>
  <c r="C37" i="2"/>
  <c r="N36" i="2" s="1"/>
  <c r="C38" i="2"/>
  <c r="N37" i="2" s="1"/>
  <c r="C39" i="2"/>
  <c r="N38" i="2" s="1"/>
  <c r="C40" i="2"/>
  <c r="N39" i="2" s="1"/>
  <c r="C41" i="2"/>
  <c r="N40" i="2" s="1"/>
  <c r="C42" i="2"/>
  <c r="N41" i="2" s="1"/>
  <c r="C43" i="2"/>
  <c r="N42" i="2" s="1"/>
  <c r="C44" i="2"/>
  <c r="N43" i="2" s="1"/>
  <c r="C45" i="2"/>
  <c r="N44" i="2" s="1"/>
  <c r="C46" i="2"/>
  <c r="N45" i="2" s="1"/>
  <c r="C47" i="2"/>
  <c r="N46" i="2" s="1"/>
  <c r="C48" i="2"/>
  <c r="N47" i="2" s="1"/>
  <c r="C49" i="2"/>
  <c r="N48" i="2" s="1"/>
  <c r="C50" i="2"/>
  <c r="N49" i="2" s="1"/>
  <c r="C51" i="2"/>
  <c r="N50" i="2" s="1"/>
  <c r="C52" i="2"/>
  <c r="N51" i="2" s="1"/>
  <c r="C19" i="2"/>
  <c r="N18" i="2" s="1"/>
  <c r="B3" i="2"/>
  <c r="M3" i="2" s="1"/>
  <c r="B4" i="2"/>
  <c r="M4" i="2" s="1"/>
  <c r="B5" i="2"/>
  <c r="M5" i="2" s="1"/>
  <c r="B6" i="2"/>
  <c r="M6" i="2" s="1"/>
  <c r="B7" i="2"/>
  <c r="M7" i="2" s="1"/>
  <c r="B8" i="2"/>
  <c r="M8" i="2" s="1"/>
  <c r="B9" i="2"/>
  <c r="M9" i="2" s="1"/>
  <c r="B10" i="2"/>
  <c r="M10" i="2" s="1"/>
  <c r="P10" i="2" s="1"/>
  <c r="B11" i="2"/>
  <c r="M11" i="2" s="1"/>
  <c r="P11" i="2" s="1"/>
  <c r="B12" i="2"/>
  <c r="M12" i="2" s="1"/>
  <c r="P12" i="2" s="1"/>
  <c r="B13" i="2"/>
  <c r="M13" i="2" s="1"/>
  <c r="P13" i="2" s="1"/>
  <c r="B14" i="2"/>
  <c r="M14" i="2" s="1"/>
  <c r="P14" i="2" s="1"/>
  <c r="B15" i="2"/>
  <c r="M15" i="2" s="1"/>
  <c r="P15" i="2" s="1"/>
  <c r="B16" i="2"/>
  <c r="M16" i="2" s="1"/>
  <c r="P16" i="2" s="1"/>
  <c r="B17" i="2"/>
  <c r="M17" i="2" s="1"/>
  <c r="P17" i="2" s="1"/>
  <c r="B18" i="2"/>
  <c r="M18" i="2" s="1"/>
  <c r="P18" i="2" s="1"/>
  <c r="B19" i="2"/>
  <c r="M19" i="2" s="1"/>
  <c r="B20" i="2"/>
  <c r="M20" i="2" s="1"/>
  <c r="B21" i="2"/>
  <c r="M21" i="2" s="1"/>
  <c r="B22" i="2"/>
  <c r="M22" i="2" s="1"/>
  <c r="B23" i="2"/>
  <c r="M23" i="2" s="1"/>
  <c r="B24" i="2"/>
  <c r="M24" i="2" s="1"/>
  <c r="B25" i="2"/>
  <c r="M25" i="2" s="1"/>
  <c r="B26" i="2"/>
  <c r="M26" i="2" s="1"/>
  <c r="B27" i="2"/>
  <c r="M27" i="2" s="1"/>
  <c r="P27" i="2" s="1"/>
  <c r="B28" i="2"/>
  <c r="M28" i="2" s="1"/>
  <c r="P28" i="2" s="1"/>
  <c r="B29" i="2"/>
  <c r="M29" i="2" s="1"/>
  <c r="P29" i="2" s="1"/>
  <c r="B30" i="2"/>
  <c r="M30" i="2" s="1"/>
  <c r="P30" i="2" s="1"/>
  <c r="B31" i="2"/>
  <c r="M31" i="2" s="1"/>
  <c r="P31" i="2" s="1"/>
  <c r="B32" i="2"/>
  <c r="M32" i="2" s="1"/>
  <c r="P32" i="2" s="1"/>
  <c r="B33" i="2"/>
  <c r="M33" i="2" s="1"/>
  <c r="P33" i="2" s="1"/>
  <c r="B34" i="2"/>
  <c r="M34" i="2" s="1"/>
  <c r="P34" i="2" s="1"/>
  <c r="B35" i="2"/>
  <c r="M35" i="2" s="1"/>
  <c r="P35" i="2" s="1"/>
  <c r="B36" i="2"/>
  <c r="M36" i="2" s="1"/>
  <c r="B37" i="2"/>
  <c r="M37" i="2" s="1"/>
  <c r="B38" i="2"/>
  <c r="M38" i="2" s="1"/>
  <c r="B39" i="2"/>
  <c r="M39" i="2" s="1"/>
  <c r="B40" i="2"/>
  <c r="M40" i="2" s="1"/>
  <c r="B41" i="2"/>
  <c r="M41" i="2" s="1"/>
  <c r="B42" i="2"/>
  <c r="M42" i="2" s="1"/>
  <c r="B43" i="2"/>
  <c r="M43" i="2" s="1"/>
  <c r="B44" i="2"/>
  <c r="M44" i="2" s="1"/>
  <c r="P44" i="2" s="1"/>
  <c r="B45" i="2"/>
  <c r="M45" i="2" s="1"/>
  <c r="P45" i="2" s="1"/>
  <c r="B46" i="2"/>
  <c r="M46" i="2" s="1"/>
  <c r="P46" i="2" s="1"/>
  <c r="B47" i="2"/>
  <c r="M47" i="2" s="1"/>
  <c r="P47" i="2" s="1"/>
  <c r="B48" i="2"/>
  <c r="M48" i="2" s="1"/>
  <c r="P48" i="2" s="1"/>
  <c r="B49" i="2"/>
  <c r="M49" i="2" s="1"/>
  <c r="P49" i="2" s="1"/>
  <c r="B50" i="2"/>
  <c r="M50" i="2" s="1"/>
  <c r="P50" i="2" s="1"/>
  <c r="B51" i="2"/>
  <c r="M51" i="2" s="1"/>
  <c r="P51" i="2" s="1"/>
  <c r="B52" i="2"/>
  <c r="M52" i="2" s="1"/>
  <c r="P52" i="2" s="1"/>
  <c r="B2" i="2"/>
  <c r="M2" i="2" s="1"/>
  <c r="L3" i="2"/>
  <c r="P3" i="2" s="1"/>
  <c r="L4" i="2"/>
  <c r="P4" i="2" s="1"/>
  <c r="L5" i="2"/>
  <c r="P5" i="2" s="1"/>
  <c r="L6" i="2"/>
  <c r="P6" i="2" s="1"/>
  <c r="L7" i="2"/>
  <c r="P7" i="2" s="1"/>
  <c r="L8" i="2"/>
  <c r="P8" i="2" s="1"/>
  <c r="L9" i="2"/>
  <c r="P9" i="2" s="1"/>
  <c r="L10" i="2"/>
  <c r="L11" i="2"/>
  <c r="L12" i="2"/>
  <c r="L13" i="2"/>
  <c r="L14" i="2"/>
  <c r="L15" i="2"/>
  <c r="L16" i="2"/>
  <c r="L17" i="2"/>
  <c r="L18" i="2"/>
  <c r="L19" i="2"/>
  <c r="P19" i="2" s="1"/>
  <c r="L20" i="2"/>
  <c r="P20" i="2" s="1"/>
  <c r="L21" i="2"/>
  <c r="P21" i="2" s="1"/>
  <c r="L22" i="2"/>
  <c r="P22" i="2" s="1"/>
  <c r="L23" i="2"/>
  <c r="P23" i="2" s="1"/>
  <c r="L24" i="2"/>
  <c r="P24" i="2" s="1"/>
  <c r="L25" i="2"/>
  <c r="P25" i="2" s="1"/>
  <c r="L26" i="2"/>
  <c r="P26" i="2" s="1"/>
  <c r="L27" i="2"/>
  <c r="L28" i="2"/>
  <c r="L29" i="2"/>
  <c r="L30" i="2"/>
  <c r="L31" i="2"/>
  <c r="L32" i="2"/>
  <c r="L33" i="2"/>
  <c r="L34" i="2"/>
  <c r="L35" i="2"/>
  <c r="L36" i="2"/>
  <c r="P36" i="2" s="1"/>
  <c r="L37" i="2"/>
  <c r="P37" i="2" s="1"/>
  <c r="L38" i="2"/>
  <c r="P38" i="2" s="1"/>
  <c r="L39" i="2"/>
  <c r="P39" i="2" s="1"/>
  <c r="L40" i="2"/>
  <c r="P40" i="2" s="1"/>
  <c r="L41" i="2"/>
  <c r="P41" i="2" s="1"/>
  <c r="L42" i="2"/>
  <c r="P42" i="2" s="1"/>
  <c r="L43" i="2"/>
  <c r="P43" i="2" s="1"/>
  <c r="L44" i="2"/>
  <c r="L45" i="2"/>
  <c r="L46" i="2"/>
  <c r="L47" i="2"/>
  <c r="L48" i="2"/>
  <c r="L49" i="2"/>
  <c r="L50" i="2"/>
  <c r="L51" i="2"/>
  <c r="L52" i="2"/>
  <c r="L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2" i="2"/>
  <c r="H2" i="1"/>
  <c r="G36" i="1"/>
  <c r="H36" i="1" s="1"/>
  <c r="G37" i="1"/>
  <c r="H37" i="1"/>
  <c r="G38" i="1"/>
  <c r="H38" i="1"/>
  <c r="G39" i="1"/>
  <c r="H39" i="1"/>
  <c r="G40" i="1"/>
  <c r="H40" i="1"/>
  <c r="G41" i="1"/>
  <c r="H41" i="1" s="1"/>
  <c r="G42" i="1"/>
  <c r="H42" i="1" s="1"/>
  <c r="G43" i="1"/>
  <c r="H43" i="1" s="1"/>
  <c r="G44" i="1"/>
  <c r="H44" i="1" s="1"/>
  <c r="G45" i="1"/>
  <c r="H45" i="1"/>
  <c r="G46" i="1"/>
  <c r="H46" i="1"/>
  <c r="G47" i="1"/>
  <c r="H47" i="1"/>
  <c r="G48" i="1"/>
  <c r="H48" i="1" s="1"/>
  <c r="G49" i="1"/>
  <c r="H49" i="1"/>
  <c r="G50" i="1"/>
  <c r="H50" i="1"/>
  <c r="G51" i="1"/>
  <c r="H51" i="1"/>
  <c r="G52" i="1"/>
  <c r="H52" i="1" s="1"/>
  <c r="G19" i="1"/>
  <c r="H19" i="1" s="1"/>
  <c r="G20" i="1"/>
  <c r="H20" i="1" s="1"/>
  <c r="G21" i="1"/>
  <c r="H21" i="1"/>
  <c r="G22" i="1"/>
  <c r="H22" i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/>
  <c r="G29" i="1"/>
  <c r="H29" i="1"/>
  <c r="G30" i="1"/>
  <c r="H30" i="1" s="1"/>
  <c r="G31" i="1"/>
  <c r="H31" i="1" s="1"/>
  <c r="G32" i="1"/>
  <c r="H32" i="1" s="1"/>
  <c r="G33" i="1"/>
  <c r="H33" i="1"/>
  <c r="G34" i="1"/>
  <c r="H34" i="1"/>
  <c r="G35" i="1"/>
  <c r="H35" i="1"/>
  <c r="G3" i="1"/>
  <c r="H3" i="1" s="1"/>
  <c r="G4" i="1"/>
  <c r="G5" i="1"/>
  <c r="G6" i="1"/>
  <c r="H6" i="1" s="1"/>
  <c r="G7" i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G18" i="1"/>
  <c r="G2" i="1"/>
  <c r="H4" i="1"/>
  <c r="H5" i="1"/>
  <c r="H17" i="1"/>
  <c r="H18" i="1"/>
  <c r="H7" i="1"/>
  <c r="O37" i="2" l="1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36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Q10" i="2"/>
  <c r="Q11" i="2"/>
  <c r="Q12" i="2"/>
  <c r="Q13" i="2"/>
  <c r="Q14" i="2"/>
  <c r="Q15" i="2"/>
  <c r="Q16" i="2"/>
  <c r="Q17" i="2"/>
  <c r="Q18" i="2"/>
  <c r="Q27" i="2"/>
  <c r="Q28" i="2"/>
  <c r="Q29" i="2"/>
  <c r="Q30" i="2"/>
  <c r="Q31" i="2"/>
  <c r="Q32" i="2"/>
  <c r="Q33" i="2"/>
  <c r="Q34" i="2"/>
  <c r="Q35" i="2"/>
  <c r="Q44" i="2"/>
  <c r="Q45" i="2"/>
  <c r="Q46" i="2"/>
  <c r="Q47" i="2"/>
  <c r="Q48" i="2"/>
  <c r="Q49" i="2"/>
  <c r="Q50" i="2"/>
  <c r="Q51" i="2"/>
  <c r="Q52" i="2"/>
  <c r="Q3" i="2"/>
  <c r="Q4" i="2"/>
  <c r="Q5" i="2"/>
  <c r="Q6" i="2"/>
  <c r="Q7" i="2"/>
  <c r="Q8" i="2"/>
  <c r="Q9" i="2"/>
  <c r="Q19" i="2"/>
  <c r="Q20" i="2"/>
  <c r="Q21" i="2"/>
  <c r="Q22" i="2"/>
  <c r="Q23" i="2"/>
  <c r="Q24" i="2"/>
  <c r="Q25" i="2"/>
  <c r="Q26" i="2"/>
  <c r="Q36" i="2"/>
  <c r="Q37" i="2"/>
  <c r="Q38" i="2"/>
  <c r="Q39" i="2"/>
  <c r="Q40" i="2"/>
  <c r="Q41" i="2"/>
  <c r="Q42" i="2"/>
  <c r="Q43" i="2"/>
  <c r="Q2" i="2"/>
</calcChain>
</file>

<file path=xl/sharedStrings.xml><?xml version="1.0" encoding="utf-8"?>
<sst xmlns="http://schemas.openxmlformats.org/spreadsheetml/2006/main" count="609" uniqueCount="42">
  <si>
    <t>Year</t>
  </si>
  <si>
    <t>ACC</t>
  </si>
  <si>
    <t>PER</t>
  </si>
  <si>
    <t>Data Type</t>
  </si>
  <si>
    <t>File Path Finish</t>
  </si>
  <si>
    <t>Raw Data/2007/FARS2007NationalAuxiliaryCSV/ACC_AUX.CSV</t>
  </si>
  <si>
    <t>File Path AUX1 Template</t>
  </si>
  <si>
    <t>Raw Data/</t>
  </si>
  <si>
    <t>Source of Truth</t>
  </si>
  <si>
    <t>File Path AUX2 Template</t>
  </si>
  <si>
    <t>File Path AUX3 Template</t>
  </si>
  <si>
    <t>/FARS</t>
  </si>
  <si>
    <t>_AUX.CSV</t>
  </si>
  <si>
    <t>File Path AUX4 Template</t>
  </si>
  <si>
    <t>NationalAuxiliaryCSV/</t>
  </si>
  <si>
    <t>Import code</t>
  </si>
  <si>
    <t>VEH</t>
  </si>
  <si>
    <t>ACCIDENT</t>
  </si>
  <si>
    <t>File Path National1 Template</t>
  </si>
  <si>
    <t>File Path National2 Template</t>
  </si>
  <si>
    <t>File Path National3 Template</t>
  </si>
  <si>
    <t>File Path National4 Template</t>
  </si>
  <si>
    <t>File Path National5 Template</t>
  </si>
  <si>
    <t>NationalCSV</t>
  </si>
  <si>
    <t>C:\Users\torra034\Documents\githubb\NHTSA-Research-Redo\Raw Data\2007\FARS2007NationalCSV\FARS2007NationalCSV\ACCIDENT.CSV</t>
  </si>
  <si>
    <t>PERSON</t>
  </si>
  <si>
    <t>VEHICLE</t>
  </si>
  <si>
    <t>Dataframe Name</t>
  </si>
  <si>
    <t>/</t>
  </si>
  <si>
    <t>.CSV</t>
  </si>
  <si>
    <t>C:\Users\torra034\Documents\githubb\NHTSA_Research_v2\Raw Data\2015\FARS2015NationalCSV\accident.csv</t>
  </si>
  <si>
    <t>File Path Correct</t>
  </si>
  <si>
    <t>accident</t>
  </si>
  <si>
    <t>File Path 2015, 2018, 2020-2023</t>
  </si>
  <si>
    <t>File Path 2016 - 2017</t>
  </si>
  <si>
    <t>File Path 2019</t>
  </si>
  <si>
    <t>Data Type 2007-2014</t>
  </si>
  <si>
    <t>Data Type 2015, 2018, 2020-2023</t>
  </si>
  <si>
    <t>Data Type 2016-2017</t>
  </si>
  <si>
    <t>Data Type 2019</t>
  </si>
  <si>
    <t>File Path 2007-2014</t>
  </si>
  <si>
    <t>Data Type 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</si>
</sst>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5556-CFF9-48ED-A785-AB09CC7A01C6}">
  <dimension ref="A1:O52"/>
  <sheetViews>
    <sheetView workbookViewId="0"/>
  </sheetViews>
  <sheetFormatPr defaultRowHeight="15" x14ac:dyDescent="0.25"/>
  <cols>
    <col min="3" max="5" width="22.5703125" bestFit="1" customWidth="1"/>
    <col min="6" max="6" width="22.5703125" customWidth="1"/>
    <col min="7" max="7" width="54.5703125" customWidth="1"/>
    <col min="8" max="8" width="22.5703125" bestFit="1" customWidth="1"/>
    <col min="15" max="15" width="55.5703125" bestFit="1" customWidth="1"/>
    <col min="17" max="17" width="22.5703125" bestFit="1" customWidth="1"/>
  </cols>
  <sheetData>
    <row r="1" spans="1:15" x14ac:dyDescent="0.25">
      <c r="A1" t="s">
        <v>3</v>
      </c>
      <c r="B1" t="s">
        <v>0</v>
      </c>
      <c r="C1" t="s">
        <v>6</v>
      </c>
      <c r="D1" t="s">
        <v>9</v>
      </c>
      <c r="E1" t="s">
        <v>10</v>
      </c>
      <c r="F1" t="s">
        <v>13</v>
      </c>
      <c r="G1" t="s">
        <v>4</v>
      </c>
      <c r="H1" t="s">
        <v>15</v>
      </c>
      <c r="O1" t="s">
        <v>8</v>
      </c>
    </row>
    <row r="2" spans="1:15" x14ac:dyDescent="0.25">
      <c r="A2" t="s">
        <v>1</v>
      </c>
      <c r="B2" s="1">
        <v>2007</v>
      </c>
      <c r="C2" t="s">
        <v>7</v>
      </c>
      <c r="D2" t="s">
        <v>11</v>
      </c>
      <c r="E2" t="s">
        <v>14</v>
      </c>
      <c r="F2" t="s">
        <v>12</v>
      </c>
      <c r="G2" t="str">
        <f>_xlfn.CONCAT(C2,B2,D2,B2,E2,A2,F2)</f>
        <v>Raw Data/2007/FARS2007NationalAuxiliaryCSV/ACC_AUX.CSV</v>
      </c>
      <c r="H2" t="str">
        <f t="shared" ref="H2:H18" si="0">CONCATENATE(LOWER(A2),B2," &lt;- ","read.csv(",G2,")")</f>
        <v>acc2007 &lt;- read.csv(Raw Data/2007/FARS2007NationalAuxiliaryCSV/ACC_AUX.CSV)</v>
      </c>
      <c r="O2" t="s">
        <v>5</v>
      </c>
    </row>
    <row r="3" spans="1:15" x14ac:dyDescent="0.25">
      <c r="A3" t="s">
        <v>1</v>
      </c>
      <c r="B3">
        <v>2008</v>
      </c>
      <c r="C3" t="s">
        <v>7</v>
      </c>
      <c r="D3" t="s">
        <v>11</v>
      </c>
      <c r="E3" t="s">
        <v>14</v>
      </c>
      <c r="F3" t="s">
        <v>12</v>
      </c>
      <c r="G3" t="str">
        <f t="shared" ref="G3:G18" si="1">_xlfn.CONCAT(C3,B3,D3,B3,E3,A3,F3)</f>
        <v>Raw Data/2008/FARS2008NationalAuxiliaryCSV/ACC_AUX.CSV</v>
      </c>
      <c r="H3" t="str">
        <f t="shared" si="0"/>
        <v>acc2008 &lt;- read.csv(Raw Data/2008/FARS2008NationalAuxiliaryCSV/ACC_AUX.CSV)</v>
      </c>
    </row>
    <row r="4" spans="1:15" x14ac:dyDescent="0.25">
      <c r="A4" t="s">
        <v>1</v>
      </c>
      <c r="B4" s="1">
        <v>2009</v>
      </c>
      <c r="C4" t="s">
        <v>7</v>
      </c>
      <c r="D4" t="s">
        <v>11</v>
      </c>
      <c r="E4" t="s">
        <v>14</v>
      </c>
      <c r="F4" t="s">
        <v>12</v>
      </c>
      <c r="G4" t="str">
        <f t="shared" si="1"/>
        <v>Raw Data/2009/FARS2009NationalAuxiliaryCSV/ACC_AUX.CSV</v>
      </c>
      <c r="H4" t="str">
        <f t="shared" si="0"/>
        <v>acc2009 &lt;- read.csv(Raw Data/2009/FARS2009NationalAuxiliaryCSV/ACC_AUX.CSV)</v>
      </c>
    </row>
    <row r="5" spans="1:15" x14ac:dyDescent="0.25">
      <c r="A5" t="s">
        <v>1</v>
      </c>
      <c r="B5">
        <v>2010</v>
      </c>
      <c r="C5" t="s">
        <v>7</v>
      </c>
      <c r="D5" t="s">
        <v>11</v>
      </c>
      <c r="E5" t="s">
        <v>14</v>
      </c>
      <c r="F5" t="s">
        <v>12</v>
      </c>
      <c r="G5" t="str">
        <f t="shared" si="1"/>
        <v>Raw Data/2010/FARS2010NationalAuxiliaryCSV/ACC_AUX.CSV</v>
      </c>
      <c r="H5" t="str">
        <f t="shared" si="0"/>
        <v>acc2010 &lt;- read.csv(Raw Data/2010/FARS2010NationalAuxiliaryCSV/ACC_AUX.CSV)</v>
      </c>
    </row>
    <row r="6" spans="1:15" x14ac:dyDescent="0.25">
      <c r="A6" t="s">
        <v>1</v>
      </c>
      <c r="B6" s="1">
        <v>2011</v>
      </c>
      <c r="C6" t="s">
        <v>7</v>
      </c>
      <c r="D6" t="s">
        <v>11</v>
      </c>
      <c r="E6" t="s">
        <v>14</v>
      </c>
      <c r="F6" t="s">
        <v>12</v>
      </c>
      <c r="G6" t="str">
        <f t="shared" si="1"/>
        <v>Raw Data/2011/FARS2011NationalAuxiliaryCSV/ACC_AUX.CSV</v>
      </c>
      <c r="H6" t="str">
        <f t="shared" si="0"/>
        <v>acc2011 &lt;- read.csv(Raw Data/2011/FARS2011NationalAuxiliaryCSV/ACC_AUX.CSV)</v>
      </c>
    </row>
    <row r="7" spans="1:15" x14ac:dyDescent="0.25">
      <c r="A7" t="s">
        <v>1</v>
      </c>
      <c r="B7">
        <v>2012</v>
      </c>
      <c r="C7" t="s">
        <v>7</v>
      </c>
      <c r="D7" t="s">
        <v>11</v>
      </c>
      <c r="E7" t="s">
        <v>14</v>
      </c>
      <c r="F7" t="s">
        <v>12</v>
      </c>
      <c r="G7" t="str">
        <f t="shared" si="1"/>
        <v>Raw Data/2012/FARS2012NationalAuxiliaryCSV/ACC_AUX.CSV</v>
      </c>
      <c r="H7" t="str">
        <f t="shared" si="0"/>
        <v>acc2012 &lt;- read.csv(Raw Data/2012/FARS2012NationalAuxiliaryCSV/ACC_AUX.CSV)</v>
      </c>
    </row>
    <row r="8" spans="1:15" x14ac:dyDescent="0.25">
      <c r="A8" t="s">
        <v>1</v>
      </c>
      <c r="B8" s="1">
        <v>2013</v>
      </c>
      <c r="C8" t="s">
        <v>7</v>
      </c>
      <c r="D8" t="s">
        <v>11</v>
      </c>
      <c r="E8" t="s">
        <v>14</v>
      </c>
      <c r="F8" t="s">
        <v>12</v>
      </c>
      <c r="G8" t="str">
        <f t="shared" si="1"/>
        <v>Raw Data/2013/FARS2013NationalAuxiliaryCSV/ACC_AUX.CSV</v>
      </c>
      <c r="H8" t="str">
        <f t="shared" si="0"/>
        <v>acc2013 &lt;- read.csv(Raw Data/2013/FARS2013NationalAuxiliaryCSV/ACC_AUX.CSV)</v>
      </c>
    </row>
    <row r="9" spans="1:15" x14ac:dyDescent="0.25">
      <c r="A9" t="s">
        <v>1</v>
      </c>
      <c r="B9">
        <v>2014</v>
      </c>
      <c r="C9" t="s">
        <v>7</v>
      </c>
      <c r="D9" t="s">
        <v>11</v>
      </c>
      <c r="E9" t="s">
        <v>14</v>
      </c>
      <c r="F9" t="s">
        <v>12</v>
      </c>
      <c r="G9" t="str">
        <f t="shared" si="1"/>
        <v>Raw Data/2014/FARS2014NationalAuxiliaryCSV/ACC_AUX.CSV</v>
      </c>
      <c r="H9" t="str">
        <f t="shared" si="0"/>
        <v>acc2014 &lt;- read.csv(Raw Data/2014/FARS2014NationalAuxiliaryCSV/ACC_AUX.CSV)</v>
      </c>
    </row>
    <row r="10" spans="1:15" x14ac:dyDescent="0.25">
      <c r="A10" t="s">
        <v>1</v>
      </c>
      <c r="B10" s="1">
        <v>2015</v>
      </c>
      <c r="C10" t="s">
        <v>7</v>
      </c>
      <c r="D10" t="s">
        <v>11</v>
      </c>
      <c r="E10" t="s">
        <v>14</v>
      </c>
      <c r="F10" t="s">
        <v>12</v>
      </c>
      <c r="G10" t="str">
        <f t="shared" si="1"/>
        <v>Raw Data/2015/FARS2015NationalAuxiliaryCSV/ACC_AUX.CSV</v>
      </c>
      <c r="H10" t="str">
        <f t="shared" si="0"/>
        <v>acc2015 &lt;- read.csv(Raw Data/2015/FARS2015NationalAuxiliaryCSV/ACC_AUX.CSV)</v>
      </c>
    </row>
    <row r="11" spans="1:15" x14ac:dyDescent="0.25">
      <c r="A11" t="s">
        <v>1</v>
      </c>
      <c r="B11">
        <v>2016</v>
      </c>
      <c r="C11" t="s">
        <v>7</v>
      </c>
      <c r="D11" t="s">
        <v>11</v>
      </c>
      <c r="E11" t="s">
        <v>14</v>
      </c>
      <c r="F11" t="s">
        <v>12</v>
      </c>
      <c r="G11" t="str">
        <f t="shared" si="1"/>
        <v>Raw Data/2016/FARS2016NationalAuxiliaryCSV/ACC_AUX.CSV</v>
      </c>
      <c r="H11" t="str">
        <f t="shared" si="0"/>
        <v>acc2016 &lt;- read.csv(Raw Data/2016/FARS2016NationalAuxiliaryCSV/ACC_AUX.CSV)</v>
      </c>
    </row>
    <row r="12" spans="1:15" x14ac:dyDescent="0.25">
      <c r="A12" t="s">
        <v>1</v>
      </c>
      <c r="B12" s="1">
        <v>2017</v>
      </c>
      <c r="C12" t="s">
        <v>7</v>
      </c>
      <c r="D12" t="s">
        <v>11</v>
      </c>
      <c r="E12" t="s">
        <v>14</v>
      </c>
      <c r="F12" t="s">
        <v>12</v>
      </c>
      <c r="G12" t="str">
        <f t="shared" si="1"/>
        <v>Raw Data/2017/FARS2017NationalAuxiliaryCSV/ACC_AUX.CSV</v>
      </c>
      <c r="H12" t="str">
        <f t="shared" si="0"/>
        <v>acc2017 &lt;- read.csv(Raw Data/2017/FARS2017NationalAuxiliaryCSV/ACC_AUX.CSV)</v>
      </c>
    </row>
    <row r="13" spans="1:15" x14ac:dyDescent="0.25">
      <c r="A13" t="s">
        <v>1</v>
      </c>
      <c r="B13">
        <v>2018</v>
      </c>
      <c r="C13" t="s">
        <v>7</v>
      </c>
      <c r="D13" t="s">
        <v>11</v>
      </c>
      <c r="E13" t="s">
        <v>14</v>
      </c>
      <c r="F13" t="s">
        <v>12</v>
      </c>
      <c r="G13" t="str">
        <f t="shared" si="1"/>
        <v>Raw Data/2018/FARS2018NationalAuxiliaryCSV/ACC_AUX.CSV</v>
      </c>
      <c r="H13" t="str">
        <f t="shared" si="0"/>
        <v>acc2018 &lt;- read.csv(Raw Data/2018/FARS2018NationalAuxiliaryCSV/ACC_AUX.CSV)</v>
      </c>
    </row>
    <row r="14" spans="1:15" x14ac:dyDescent="0.25">
      <c r="A14" t="s">
        <v>1</v>
      </c>
      <c r="B14" s="1">
        <v>2019</v>
      </c>
      <c r="C14" t="s">
        <v>7</v>
      </c>
      <c r="D14" t="s">
        <v>11</v>
      </c>
      <c r="E14" t="s">
        <v>14</v>
      </c>
      <c r="F14" t="s">
        <v>12</v>
      </c>
      <c r="G14" t="str">
        <f t="shared" si="1"/>
        <v>Raw Data/2019/FARS2019NationalAuxiliaryCSV/ACC_AUX.CSV</v>
      </c>
      <c r="H14" t="str">
        <f t="shared" si="0"/>
        <v>acc2019 &lt;- read.csv(Raw Data/2019/FARS2019NationalAuxiliaryCSV/ACC_AUX.CSV)</v>
      </c>
    </row>
    <row r="15" spans="1:15" x14ac:dyDescent="0.25">
      <c r="A15" t="s">
        <v>1</v>
      </c>
      <c r="B15">
        <v>2020</v>
      </c>
      <c r="C15" t="s">
        <v>7</v>
      </c>
      <c r="D15" t="s">
        <v>11</v>
      </c>
      <c r="E15" t="s">
        <v>14</v>
      </c>
      <c r="F15" t="s">
        <v>12</v>
      </c>
      <c r="G15" t="str">
        <f t="shared" si="1"/>
        <v>Raw Data/2020/FARS2020NationalAuxiliaryCSV/ACC_AUX.CSV</v>
      </c>
      <c r="H15" t="str">
        <f t="shared" si="0"/>
        <v>acc2020 &lt;- read.csv(Raw Data/2020/FARS2020NationalAuxiliaryCSV/ACC_AUX.CSV)</v>
      </c>
    </row>
    <row r="16" spans="1:15" x14ac:dyDescent="0.25">
      <c r="A16" t="s">
        <v>1</v>
      </c>
      <c r="B16" s="1">
        <v>2021</v>
      </c>
      <c r="C16" t="s">
        <v>7</v>
      </c>
      <c r="D16" t="s">
        <v>11</v>
      </c>
      <c r="E16" t="s">
        <v>14</v>
      </c>
      <c r="F16" t="s">
        <v>12</v>
      </c>
      <c r="G16" t="str">
        <f t="shared" si="1"/>
        <v>Raw Data/2021/FARS2021NationalAuxiliaryCSV/ACC_AUX.CSV</v>
      </c>
      <c r="H16" t="str">
        <f t="shared" si="0"/>
        <v>acc2021 &lt;- read.csv(Raw Data/2021/FARS2021NationalAuxiliaryCSV/ACC_AUX.CSV)</v>
      </c>
    </row>
    <row r="17" spans="1:8" x14ac:dyDescent="0.25">
      <c r="A17" t="s">
        <v>1</v>
      </c>
      <c r="B17">
        <v>2022</v>
      </c>
      <c r="C17" t="s">
        <v>7</v>
      </c>
      <c r="D17" t="s">
        <v>11</v>
      </c>
      <c r="E17" t="s">
        <v>14</v>
      </c>
      <c r="F17" t="s">
        <v>12</v>
      </c>
      <c r="G17" t="str">
        <f t="shared" si="1"/>
        <v>Raw Data/2022/FARS2022NationalAuxiliaryCSV/ACC_AUX.CSV</v>
      </c>
      <c r="H17" t="str">
        <f t="shared" si="0"/>
        <v>acc2022 &lt;- read.csv(Raw Data/2022/FARS2022NationalAuxiliaryCSV/ACC_AUX.CSV)</v>
      </c>
    </row>
    <row r="18" spans="1:8" x14ac:dyDescent="0.25">
      <c r="A18" t="s">
        <v>1</v>
      </c>
      <c r="B18">
        <v>2023</v>
      </c>
      <c r="C18" t="s">
        <v>7</v>
      </c>
      <c r="D18" t="s">
        <v>11</v>
      </c>
      <c r="E18" t="s">
        <v>14</v>
      </c>
      <c r="F18" t="s">
        <v>12</v>
      </c>
      <c r="G18" t="str">
        <f t="shared" si="1"/>
        <v>Raw Data/2023/FARS2023NationalAuxiliaryCSV/ACC_AUX.CSV</v>
      </c>
      <c r="H18" t="str">
        <f t="shared" si="0"/>
        <v>acc2023 &lt;- read.csv(Raw Data/2023/FARS2023NationalAuxiliaryCSV/ACC_AUX.CSV)</v>
      </c>
    </row>
    <row r="19" spans="1:8" x14ac:dyDescent="0.25">
      <c r="A19" t="s">
        <v>2</v>
      </c>
      <c r="B19" s="1">
        <v>2007</v>
      </c>
      <c r="C19" t="s">
        <v>7</v>
      </c>
      <c r="D19" t="s">
        <v>11</v>
      </c>
      <c r="E19" t="s">
        <v>14</v>
      </c>
      <c r="F19" t="s">
        <v>12</v>
      </c>
      <c r="G19" t="str">
        <f t="shared" ref="G19:G35" si="2">_xlfn.CONCAT(C19,B19,D19,B19,E19,A19,F19)</f>
        <v>Raw Data/2007/FARS2007NationalAuxiliaryCSV/PER_AUX.CSV</v>
      </c>
      <c r="H19" t="str">
        <f t="shared" ref="H19:H35" si="3">CONCATENATE(LOWER(A19),B19," &lt;- ","read.csv(",G19,")")</f>
        <v>per2007 &lt;- read.csv(Raw Data/2007/FARS2007NationalAuxiliaryCSV/PER_AUX.CSV)</v>
      </c>
    </row>
    <row r="20" spans="1:8" x14ac:dyDescent="0.25">
      <c r="A20" t="s">
        <v>2</v>
      </c>
      <c r="B20">
        <v>2008</v>
      </c>
      <c r="C20" t="s">
        <v>7</v>
      </c>
      <c r="D20" t="s">
        <v>11</v>
      </c>
      <c r="E20" t="s">
        <v>14</v>
      </c>
      <c r="F20" t="s">
        <v>12</v>
      </c>
      <c r="G20" t="str">
        <f t="shared" si="2"/>
        <v>Raw Data/2008/FARS2008NationalAuxiliaryCSV/PER_AUX.CSV</v>
      </c>
      <c r="H20" t="str">
        <f t="shared" si="3"/>
        <v>per2008 &lt;- read.csv(Raw Data/2008/FARS2008NationalAuxiliaryCSV/PER_AUX.CSV)</v>
      </c>
    </row>
    <row r="21" spans="1:8" x14ac:dyDescent="0.25">
      <c r="A21" t="s">
        <v>2</v>
      </c>
      <c r="B21" s="1">
        <v>2009</v>
      </c>
      <c r="C21" t="s">
        <v>7</v>
      </c>
      <c r="D21" t="s">
        <v>11</v>
      </c>
      <c r="E21" t="s">
        <v>14</v>
      </c>
      <c r="F21" t="s">
        <v>12</v>
      </c>
      <c r="G21" t="str">
        <f t="shared" si="2"/>
        <v>Raw Data/2009/FARS2009NationalAuxiliaryCSV/PER_AUX.CSV</v>
      </c>
      <c r="H21" t="str">
        <f t="shared" si="3"/>
        <v>per2009 &lt;- read.csv(Raw Data/2009/FARS2009NationalAuxiliaryCSV/PER_AUX.CSV)</v>
      </c>
    </row>
    <row r="22" spans="1:8" x14ac:dyDescent="0.25">
      <c r="A22" t="s">
        <v>2</v>
      </c>
      <c r="B22">
        <v>2010</v>
      </c>
      <c r="C22" t="s">
        <v>7</v>
      </c>
      <c r="D22" t="s">
        <v>11</v>
      </c>
      <c r="E22" t="s">
        <v>14</v>
      </c>
      <c r="F22" t="s">
        <v>12</v>
      </c>
      <c r="G22" t="str">
        <f t="shared" si="2"/>
        <v>Raw Data/2010/FARS2010NationalAuxiliaryCSV/PER_AUX.CSV</v>
      </c>
      <c r="H22" t="str">
        <f t="shared" si="3"/>
        <v>per2010 &lt;- read.csv(Raw Data/2010/FARS2010NationalAuxiliaryCSV/PER_AUX.CSV)</v>
      </c>
    </row>
    <row r="23" spans="1:8" x14ac:dyDescent="0.25">
      <c r="A23" t="s">
        <v>2</v>
      </c>
      <c r="B23" s="1">
        <v>2011</v>
      </c>
      <c r="C23" t="s">
        <v>7</v>
      </c>
      <c r="D23" t="s">
        <v>11</v>
      </c>
      <c r="E23" t="s">
        <v>14</v>
      </c>
      <c r="F23" t="s">
        <v>12</v>
      </c>
      <c r="G23" t="str">
        <f t="shared" si="2"/>
        <v>Raw Data/2011/FARS2011NationalAuxiliaryCSV/PER_AUX.CSV</v>
      </c>
      <c r="H23" t="str">
        <f t="shared" si="3"/>
        <v>per2011 &lt;- read.csv(Raw Data/2011/FARS2011NationalAuxiliaryCSV/PER_AUX.CSV)</v>
      </c>
    </row>
    <row r="24" spans="1:8" x14ac:dyDescent="0.25">
      <c r="A24" t="s">
        <v>2</v>
      </c>
      <c r="B24">
        <v>2012</v>
      </c>
      <c r="C24" t="s">
        <v>7</v>
      </c>
      <c r="D24" t="s">
        <v>11</v>
      </c>
      <c r="E24" t="s">
        <v>14</v>
      </c>
      <c r="F24" t="s">
        <v>12</v>
      </c>
      <c r="G24" t="str">
        <f t="shared" si="2"/>
        <v>Raw Data/2012/FARS2012NationalAuxiliaryCSV/PER_AUX.CSV</v>
      </c>
      <c r="H24" t="str">
        <f t="shared" si="3"/>
        <v>per2012 &lt;- read.csv(Raw Data/2012/FARS2012NationalAuxiliaryCSV/PER_AUX.CSV)</v>
      </c>
    </row>
    <row r="25" spans="1:8" x14ac:dyDescent="0.25">
      <c r="A25" t="s">
        <v>2</v>
      </c>
      <c r="B25" s="1">
        <v>2013</v>
      </c>
      <c r="C25" t="s">
        <v>7</v>
      </c>
      <c r="D25" t="s">
        <v>11</v>
      </c>
      <c r="E25" t="s">
        <v>14</v>
      </c>
      <c r="F25" t="s">
        <v>12</v>
      </c>
      <c r="G25" t="str">
        <f t="shared" si="2"/>
        <v>Raw Data/2013/FARS2013NationalAuxiliaryCSV/PER_AUX.CSV</v>
      </c>
      <c r="H25" t="str">
        <f t="shared" si="3"/>
        <v>per2013 &lt;- read.csv(Raw Data/2013/FARS2013NationalAuxiliaryCSV/PER_AUX.CSV)</v>
      </c>
    </row>
    <row r="26" spans="1:8" x14ac:dyDescent="0.25">
      <c r="A26" t="s">
        <v>2</v>
      </c>
      <c r="B26">
        <v>2014</v>
      </c>
      <c r="C26" t="s">
        <v>7</v>
      </c>
      <c r="D26" t="s">
        <v>11</v>
      </c>
      <c r="E26" t="s">
        <v>14</v>
      </c>
      <c r="F26" t="s">
        <v>12</v>
      </c>
      <c r="G26" t="str">
        <f t="shared" si="2"/>
        <v>Raw Data/2014/FARS2014NationalAuxiliaryCSV/PER_AUX.CSV</v>
      </c>
      <c r="H26" t="str">
        <f t="shared" si="3"/>
        <v>per2014 &lt;- read.csv(Raw Data/2014/FARS2014NationalAuxiliaryCSV/PER_AUX.CSV)</v>
      </c>
    </row>
    <row r="27" spans="1:8" x14ac:dyDescent="0.25">
      <c r="A27" t="s">
        <v>2</v>
      </c>
      <c r="B27" s="1">
        <v>2015</v>
      </c>
      <c r="C27" t="s">
        <v>7</v>
      </c>
      <c r="D27" t="s">
        <v>11</v>
      </c>
      <c r="E27" t="s">
        <v>14</v>
      </c>
      <c r="F27" t="s">
        <v>12</v>
      </c>
      <c r="G27" t="str">
        <f t="shared" si="2"/>
        <v>Raw Data/2015/FARS2015NationalAuxiliaryCSV/PER_AUX.CSV</v>
      </c>
      <c r="H27" t="str">
        <f t="shared" si="3"/>
        <v>per2015 &lt;- read.csv(Raw Data/2015/FARS2015NationalAuxiliaryCSV/PER_AUX.CSV)</v>
      </c>
    </row>
    <row r="28" spans="1:8" x14ac:dyDescent="0.25">
      <c r="A28" t="s">
        <v>2</v>
      </c>
      <c r="B28">
        <v>2016</v>
      </c>
      <c r="C28" t="s">
        <v>7</v>
      </c>
      <c r="D28" t="s">
        <v>11</v>
      </c>
      <c r="E28" t="s">
        <v>14</v>
      </c>
      <c r="F28" t="s">
        <v>12</v>
      </c>
      <c r="G28" t="str">
        <f t="shared" si="2"/>
        <v>Raw Data/2016/FARS2016NationalAuxiliaryCSV/PER_AUX.CSV</v>
      </c>
      <c r="H28" t="str">
        <f t="shared" si="3"/>
        <v>per2016 &lt;- read.csv(Raw Data/2016/FARS2016NationalAuxiliaryCSV/PER_AUX.CSV)</v>
      </c>
    </row>
    <row r="29" spans="1:8" x14ac:dyDescent="0.25">
      <c r="A29" t="s">
        <v>2</v>
      </c>
      <c r="B29" s="1">
        <v>2017</v>
      </c>
      <c r="C29" t="s">
        <v>7</v>
      </c>
      <c r="D29" t="s">
        <v>11</v>
      </c>
      <c r="E29" t="s">
        <v>14</v>
      </c>
      <c r="F29" t="s">
        <v>12</v>
      </c>
      <c r="G29" t="str">
        <f t="shared" si="2"/>
        <v>Raw Data/2017/FARS2017NationalAuxiliaryCSV/PER_AUX.CSV</v>
      </c>
      <c r="H29" t="str">
        <f t="shared" si="3"/>
        <v>per2017 &lt;- read.csv(Raw Data/2017/FARS2017NationalAuxiliaryCSV/PER_AUX.CSV)</v>
      </c>
    </row>
    <row r="30" spans="1:8" x14ac:dyDescent="0.25">
      <c r="A30" t="s">
        <v>2</v>
      </c>
      <c r="B30">
        <v>2018</v>
      </c>
      <c r="C30" t="s">
        <v>7</v>
      </c>
      <c r="D30" t="s">
        <v>11</v>
      </c>
      <c r="E30" t="s">
        <v>14</v>
      </c>
      <c r="F30" t="s">
        <v>12</v>
      </c>
      <c r="G30" t="str">
        <f t="shared" si="2"/>
        <v>Raw Data/2018/FARS2018NationalAuxiliaryCSV/PER_AUX.CSV</v>
      </c>
      <c r="H30" t="str">
        <f t="shared" si="3"/>
        <v>per2018 &lt;- read.csv(Raw Data/2018/FARS2018NationalAuxiliaryCSV/PER_AUX.CSV)</v>
      </c>
    </row>
    <row r="31" spans="1:8" x14ac:dyDescent="0.25">
      <c r="A31" t="s">
        <v>2</v>
      </c>
      <c r="B31" s="1">
        <v>2019</v>
      </c>
      <c r="C31" t="s">
        <v>7</v>
      </c>
      <c r="D31" t="s">
        <v>11</v>
      </c>
      <c r="E31" t="s">
        <v>14</v>
      </c>
      <c r="F31" t="s">
        <v>12</v>
      </c>
      <c r="G31" t="str">
        <f t="shared" si="2"/>
        <v>Raw Data/2019/FARS2019NationalAuxiliaryCSV/PER_AUX.CSV</v>
      </c>
      <c r="H31" t="str">
        <f t="shared" si="3"/>
        <v>per2019 &lt;- read.csv(Raw Data/2019/FARS2019NationalAuxiliaryCSV/PER_AUX.CSV)</v>
      </c>
    </row>
    <row r="32" spans="1:8" x14ac:dyDescent="0.25">
      <c r="A32" t="s">
        <v>2</v>
      </c>
      <c r="B32">
        <v>2020</v>
      </c>
      <c r="C32" t="s">
        <v>7</v>
      </c>
      <c r="D32" t="s">
        <v>11</v>
      </c>
      <c r="E32" t="s">
        <v>14</v>
      </c>
      <c r="F32" t="s">
        <v>12</v>
      </c>
      <c r="G32" t="str">
        <f t="shared" si="2"/>
        <v>Raw Data/2020/FARS2020NationalAuxiliaryCSV/PER_AUX.CSV</v>
      </c>
      <c r="H32" t="str">
        <f t="shared" si="3"/>
        <v>per2020 &lt;- read.csv(Raw Data/2020/FARS2020NationalAuxiliaryCSV/PER_AUX.CSV)</v>
      </c>
    </row>
    <row r="33" spans="1:8" x14ac:dyDescent="0.25">
      <c r="A33" t="s">
        <v>2</v>
      </c>
      <c r="B33" s="1">
        <v>2021</v>
      </c>
      <c r="C33" t="s">
        <v>7</v>
      </c>
      <c r="D33" t="s">
        <v>11</v>
      </c>
      <c r="E33" t="s">
        <v>14</v>
      </c>
      <c r="F33" t="s">
        <v>12</v>
      </c>
      <c r="G33" t="str">
        <f t="shared" si="2"/>
        <v>Raw Data/2021/FARS2021NationalAuxiliaryCSV/PER_AUX.CSV</v>
      </c>
      <c r="H33" t="str">
        <f t="shared" si="3"/>
        <v>per2021 &lt;- read.csv(Raw Data/2021/FARS2021NationalAuxiliaryCSV/PER_AUX.CSV)</v>
      </c>
    </row>
    <row r="34" spans="1:8" x14ac:dyDescent="0.25">
      <c r="A34" t="s">
        <v>2</v>
      </c>
      <c r="B34">
        <v>2022</v>
      </c>
      <c r="C34" t="s">
        <v>7</v>
      </c>
      <c r="D34" t="s">
        <v>11</v>
      </c>
      <c r="E34" t="s">
        <v>14</v>
      </c>
      <c r="F34" t="s">
        <v>12</v>
      </c>
      <c r="G34" t="str">
        <f t="shared" si="2"/>
        <v>Raw Data/2022/FARS2022NationalAuxiliaryCSV/PER_AUX.CSV</v>
      </c>
      <c r="H34" t="str">
        <f t="shared" si="3"/>
        <v>per2022 &lt;- read.csv(Raw Data/2022/FARS2022NationalAuxiliaryCSV/PER_AUX.CSV)</v>
      </c>
    </row>
    <row r="35" spans="1:8" x14ac:dyDescent="0.25">
      <c r="A35" t="s">
        <v>2</v>
      </c>
      <c r="B35">
        <v>2023</v>
      </c>
      <c r="C35" t="s">
        <v>7</v>
      </c>
      <c r="D35" t="s">
        <v>11</v>
      </c>
      <c r="E35" t="s">
        <v>14</v>
      </c>
      <c r="F35" t="s">
        <v>12</v>
      </c>
      <c r="G35" t="str">
        <f t="shared" si="2"/>
        <v>Raw Data/2023/FARS2023NationalAuxiliaryCSV/PER_AUX.CSV</v>
      </c>
      <c r="H35" t="str">
        <f t="shared" si="3"/>
        <v>per2023 &lt;- read.csv(Raw Data/2023/FARS2023NationalAuxiliaryCSV/PER_AUX.CSV)</v>
      </c>
    </row>
    <row r="36" spans="1:8" x14ac:dyDescent="0.25">
      <c r="A36" t="s">
        <v>16</v>
      </c>
      <c r="B36" s="1">
        <v>2007</v>
      </c>
      <c r="C36" t="s">
        <v>7</v>
      </c>
      <c r="D36" t="s">
        <v>11</v>
      </c>
      <c r="E36" t="s">
        <v>14</v>
      </c>
      <c r="F36" t="s">
        <v>12</v>
      </c>
      <c r="G36" t="str">
        <f t="shared" ref="G36:G52" si="4">_xlfn.CONCAT(C36,B36,D36,B36,E36,A36,F36)</f>
        <v>Raw Data/2007/FARS2007NationalAuxiliaryCSV/VEH_AUX.CSV</v>
      </c>
      <c r="H36" t="str">
        <f t="shared" ref="H36:H52" si="5">CONCATENATE(LOWER(A36),B36," &lt;- ","read.csv(",G36,")")</f>
        <v>veh2007 &lt;- read.csv(Raw Data/2007/FARS2007NationalAuxiliaryCSV/VEH_AUX.CSV)</v>
      </c>
    </row>
    <row r="37" spans="1:8" x14ac:dyDescent="0.25">
      <c r="A37" t="s">
        <v>16</v>
      </c>
      <c r="B37">
        <v>2008</v>
      </c>
      <c r="C37" t="s">
        <v>7</v>
      </c>
      <c r="D37" t="s">
        <v>11</v>
      </c>
      <c r="E37" t="s">
        <v>14</v>
      </c>
      <c r="F37" t="s">
        <v>12</v>
      </c>
      <c r="G37" t="str">
        <f t="shared" si="4"/>
        <v>Raw Data/2008/FARS2008NationalAuxiliaryCSV/VEH_AUX.CSV</v>
      </c>
      <c r="H37" t="str">
        <f t="shared" si="5"/>
        <v>veh2008 &lt;- read.csv(Raw Data/2008/FARS2008NationalAuxiliaryCSV/VEH_AUX.CSV)</v>
      </c>
    </row>
    <row r="38" spans="1:8" x14ac:dyDescent="0.25">
      <c r="A38" t="s">
        <v>16</v>
      </c>
      <c r="B38" s="1">
        <v>2009</v>
      </c>
      <c r="C38" t="s">
        <v>7</v>
      </c>
      <c r="D38" t="s">
        <v>11</v>
      </c>
      <c r="E38" t="s">
        <v>14</v>
      </c>
      <c r="F38" t="s">
        <v>12</v>
      </c>
      <c r="G38" t="str">
        <f t="shared" si="4"/>
        <v>Raw Data/2009/FARS2009NationalAuxiliaryCSV/VEH_AUX.CSV</v>
      </c>
      <c r="H38" t="str">
        <f t="shared" si="5"/>
        <v>veh2009 &lt;- read.csv(Raw Data/2009/FARS2009NationalAuxiliaryCSV/VEH_AUX.CSV)</v>
      </c>
    </row>
    <row r="39" spans="1:8" x14ac:dyDescent="0.25">
      <c r="A39" t="s">
        <v>16</v>
      </c>
      <c r="B39">
        <v>2010</v>
      </c>
      <c r="C39" t="s">
        <v>7</v>
      </c>
      <c r="D39" t="s">
        <v>11</v>
      </c>
      <c r="E39" t="s">
        <v>14</v>
      </c>
      <c r="F39" t="s">
        <v>12</v>
      </c>
      <c r="G39" t="str">
        <f t="shared" si="4"/>
        <v>Raw Data/2010/FARS2010NationalAuxiliaryCSV/VEH_AUX.CSV</v>
      </c>
      <c r="H39" t="str">
        <f t="shared" si="5"/>
        <v>veh2010 &lt;- read.csv(Raw Data/2010/FARS2010NationalAuxiliaryCSV/VEH_AUX.CSV)</v>
      </c>
    </row>
    <row r="40" spans="1:8" x14ac:dyDescent="0.25">
      <c r="A40" t="s">
        <v>16</v>
      </c>
      <c r="B40" s="1">
        <v>2011</v>
      </c>
      <c r="C40" t="s">
        <v>7</v>
      </c>
      <c r="D40" t="s">
        <v>11</v>
      </c>
      <c r="E40" t="s">
        <v>14</v>
      </c>
      <c r="F40" t="s">
        <v>12</v>
      </c>
      <c r="G40" t="str">
        <f t="shared" si="4"/>
        <v>Raw Data/2011/FARS2011NationalAuxiliaryCSV/VEH_AUX.CSV</v>
      </c>
      <c r="H40" t="str">
        <f t="shared" si="5"/>
        <v>veh2011 &lt;- read.csv(Raw Data/2011/FARS2011NationalAuxiliaryCSV/VEH_AUX.CSV)</v>
      </c>
    </row>
    <row r="41" spans="1:8" x14ac:dyDescent="0.25">
      <c r="A41" t="s">
        <v>16</v>
      </c>
      <c r="B41">
        <v>2012</v>
      </c>
      <c r="C41" t="s">
        <v>7</v>
      </c>
      <c r="D41" t="s">
        <v>11</v>
      </c>
      <c r="E41" t="s">
        <v>14</v>
      </c>
      <c r="F41" t="s">
        <v>12</v>
      </c>
      <c r="G41" t="str">
        <f t="shared" si="4"/>
        <v>Raw Data/2012/FARS2012NationalAuxiliaryCSV/VEH_AUX.CSV</v>
      </c>
      <c r="H41" t="str">
        <f t="shared" si="5"/>
        <v>veh2012 &lt;- read.csv(Raw Data/2012/FARS2012NationalAuxiliaryCSV/VEH_AUX.CSV)</v>
      </c>
    </row>
    <row r="42" spans="1:8" x14ac:dyDescent="0.25">
      <c r="A42" t="s">
        <v>16</v>
      </c>
      <c r="B42" s="1">
        <v>2013</v>
      </c>
      <c r="C42" t="s">
        <v>7</v>
      </c>
      <c r="D42" t="s">
        <v>11</v>
      </c>
      <c r="E42" t="s">
        <v>14</v>
      </c>
      <c r="F42" t="s">
        <v>12</v>
      </c>
      <c r="G42" t="str">
        <f t="shared" si="4"/>
        <v>Raw Data/2013/FARS2013NationalAuxiliaryCSV/VEH_AUX.CSV</v>
      </c>
      <c r="H42" t="str">
        <f t="shared" si="5"/>
        <v>veh2013 &lt;- read.csv(Raw Data/2013/FARS2013NationalAuxiliaryCSV/VEH_AUX.CSV)</v>
      </c>
    </row>
    <row r="43" spans="1:8" x14ac:dyDescent="0.25">
      <c r="A43" t="s">
        <v>16</v>
      </c>
      <c r="B43">
        <v>2014</v>
      </c>
      <c r="C43" t="s">
        <v>7</v>
      </c>
      <c r="D43" t="s">
        <v>11</v>
      </c>
      <c r="E43" t="s">
        <v>14</v>
      </c>
      <c r="F43" t="s">
        <v>12</v>
      </c>
      <c r="G43" t="str">
        <f t="shared" si="4"/>
        <v>Raw Data/2014/FARS2014NationalAuxiliaryCSV/VEH_AUX.CSV</v>
      </c>
      <c r="H43" t="str">
        <f t="shared" si="5"/>
        <v>veh2014 &lt;- read.csv(Raw Data/2014/FARS2014NationalAuxiliaryCSV/VEH_AUX.CSV)</v>
      </c>
    </row>
    <row r="44" spans="1:8" x14ac:dyDescent="0.25">
      <c r="A44" t="s">
        <v>16</v>
      </c>
      <c r="B44" s="1">
        <v>2015</v>
      </c>
      <c r="C44" t="s">
        <v>7</v>
      </c>
      <c r="D44" t="s">
        <v>11</v>
      </c>
      <c r="E44" t="s">
        <v>14</v>
      </c>
      <c r="F44" t="s">
        <v>12</v>
      </c>
      <c r="G44" t="str">
        <f t="shared" si="4"/>
        <v>Raw Data/2015/FARS2015NationalAuxiliaryCSV/VEH_AUX.CSV</v>
      </c>
      <c r="H44" t="str">
        <f t="shared" si="5"/>
        <v>veh2015 &lt;- read.csv(Raw Data/2015/FARS2015NationalAuxiliaryCSV/VEH_AUX.CSV)</v>
      </c>
    </row>
    <row r="45" spans="1:8" x14ac:dyDescent="0.25">
      <c r="A45" t="s">
        <v>16</v>
      </c>
      <c r="B45">
        <v>2016</v>
      </c>
      <c r="C45" t="s">
        <v>7</v>
      </c>
      <c r="D45" t="s">
        <v>11</v>
      </c>
      <c r="E45" t="s">
        <v>14</v>
      </c>
      <c r="F45" t="s">
        <v>12</v>
      </c>
      <c r="G45" t="str">
        <f t="shared" si="4"/>
        <v>Raw Data/2016/FARS2016NationalAuxiliaryCSV/VEH_AUX.CSV</v>
      </c>
      <c r="H45" t="str">
        <f t="shared" si="5"/>
        <v>veh2016 &lt;- read.csv(Raw Data/2016/FARS2016NationalAuxiliaryCSV/VEH_AUX.CSV)</v>
      </c>
    </row>
    <row r="46" spans="1:8" x14ac:dyDescent="0.25">
      <c r="A46" t="s">
        <v>16</v>
      </c>
      <c r="B46" s="1">
        <v>2017</v>
      </c>
      <c r="C46" t="s">
        <v>7</v>
      </c>
      <c r="D46" t="s">
        <v>11</v>
      </c>
      <c r="E46" t="s">
        <v>14</v>
      </c>
      <c r="F46" t="s">
        <v>12</v>
      </c>
      <c r="G46" t="str">
        <f t="shared" si="4"/>
        <v>Raw Data/2017/FARS2017NationalAuxiliaryCSV/VEH_AUX.CSV</v>
      </c>
      <c r="H46" t="str">
        <f t="shared" si="5"/>
        <v>veh2017 &lt;- read.csv(Raw Data/2017/FARS2017NationalAuxiliaryCSV/VEH_AUX.CSV)</v>
      </c>
    </row>
    <row r="47" spans="1:8" x14ac:dyDescent="0.25">
      <c r="A47" t="s">
        <v>16</v>
      </c>
      <c r="B47">
        <v>2018</v>
      </c>
      <c r="C47" t="s">
        <v>7</v>
      </c>
      <c r="D47" t="s">
        <v>11</v>
      </c>
      <c r="E47" t="s">
        <v>14</v>
      </c>
      <c r="F47" t="s">
        <v>12</v>
      </c>
      <c r="G47" t="str">
        <f t="shared" si="4"/>
        <v>Raw Data/2018/FARS2018NationalAuxiliaryCSV/VEH_AUX.CSV</v>
      </c>
      <c r="H47" t="str">
        <f t="shared" si="5"/>
        <v>veh2018 &lt;- read.csv(Raw Data/2018/FARS2018NationalAuxiliaryCSV/VEH_AUX.CSV)</v>
      </c>
    </row>
    <row r="48" spans="1:8" x14ac:dyDescent="0.25">
      <c r="A48" t="s">
        <v>16</v>
      </c>
      <c r="B48" s="1">
        <v>2019</v>
      </c>
      <c r="C48" t="s">
        <v>7</v>
      </c>
      <c r="D48" t="s">
        <v>11</v>
      </c>
      <c r="E48" t="s">
        <v>14</v>
      </c>
      <c r="F48" t="s">
        <v>12</v>
      </c>
      <c r="G48" t="str">
        <f t="shared" si="4"/>
        <v>Raw Data/2019/FARS2019NationalAuxiliaryCSV/VEH_AUX.CSV</v>
      </c>
      <c r="H48" t="str">
        <f t="shared" si="5"/>
        <v>veh2019 &lt;- read.csv(Raw Data/2019/FARS2019NationalAuxiliaryCSV/VEH_AUX.CSV)</v>
      </c>
    </row>
    <row r="49" spans="1:8" x14ac:dyDescent="0.25">
      <c r="A49" t="s">
        <v>16</v>
      </c>
      <c r="B49">
        <v>2020</v>
      </c>
      <c r="C49" t="s">
        <v>7</v>
      </c>
      <c r="D49" t="s">
        <v>11</v>
      </c>
      <c r="E49" t="s">
        <v>14</v>
      </c>
      <c r="F49" t="s">
        <v>12</v>
      </c>
      <c r="G49" t="str">
        <f t="shared" si="4"/>
        <v>Raw Data/2020/FARS2020NationalAuxiliaryCSV/VEH_AUX.CSV</v>
      </c>
      <c r="H49" t="str">
        <f t="shared" si="5"/>
        <v>veh2020 &lt;- read.csv(Raw Data/2020/FARS2020NationalAuxiliaryCSV/VEH_AUX.CSV)</v>
      </c>
    </row>
    <row r="50" spans="1:8" x14ac:dyDescent="0.25">
      <c r="A50" t="s">
        <v>16</v>
      </c>
      <c r="B50" s="1">
        <v>2021</v>
      </c>
      <c r="C50" t="s">
        <v>7</v>
      </c>
      <c r="D50" t="s">
        <v>11</v>
      </c>
      <c r="E50" t="s">
        <v>14</v>
      </c>
      <c r="F50" t="s">
        <v>12</v>
      </c>
      <c r="G50" t="str">
        <f t="shared" si="4"/>
        <v>Raw Data/2021/FARS2021NationalAuxiliaryCSV/VEH_AUX.CSV</v>
      </c>
      <c r="H50" t="str">
        <f t="shared" si="5"/>
        <v>veh2021 &lt;- read.csv(Raw Data/2021/FARS2021NationalAuxiliaryCSV/VEH_AUX.CSV)</v>
      </c>
    </row>
    <row r="51" spans="1:8" x14ac:dyDescent="0.25">
      <c r="A51" t="s">
        <v>16</v>
      </c>
      <c r="B51">
        <v>2022</v>
      </c>
      <c r="C51" t="s">
        <v>7</v>
      </c>
      <c r="D51" t="s">
        <v>11</v>
      </c>
      <c r="E51" t="s">
        <v>14</v>
      </c>
      <c r="F51" t="s">
        <v>12</v>
      </c>
      <c r="G51" t="str">
        <f t="shared" si="4"/>
        <v>Raw Data/2022/FARS2022NationalAuxiliaryCSV/VEH_AUX.CSV</v>
      </c>
      <c r="H51" t="str">
        <f t="shared" si="5"/>
        <v>veh2022 &lt;- read.csv(Raw Data/2022/FARS2022NationalAuxiliaryCSV/VEH_AUX.CSV)</v>
      </c>
    </row>
    <row r="52" spans="1:8" x14ac:dyDescent="0.25">
      <c r="A52" t="s">
        <v>16</v>
      </c>
      <c r="B52">
        <v>2023</v>
      </c>
      <c r="C52" t="s">
        <v>7</v>
      </c>
      <c r="D52" t="s">
        <v>11</v>
      </c>
      <c r="E52" t="s">
        <v>14</v>
      </c>
      <c r="F52" t="s">
        <v>12</v>
      </c>
      <c r="G52" t="str">
        <f t="shared" si="4"/>
        <v>Raw Data/2023/FARS2023NationalAuxiliaryCSV/VEH_AUX.CSV</v>
      </c>
      <c r="H52" t="str">
        <f t="shared" si="5"/>
        <v>veh2023 &lt;- read.csv(Raw Data/2023/FARS2023NationalAuxiliaryCSV/VEH_AUX.CSV)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536F7-B082-4C68-A30C-B0878A4AA9A6}">
  <dimension ref="A1:S52"/>
  <sheetViews>
    <sheetView tabSelected="1"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7" max="7" width="11.5703125" customWidth="1"/>
    <col min="8" max="8" width="9.140625" customWidth="1"/>
    <col min="9" max="9" width="13.42578125" customWidth="1"/>
    <col min="10" max="10" width="4.85546875" customWidth="1"/>
    <col min="11" max="11" width="7.7109375" customWidth="1"/>
    <col min="12" max="12" width="19.85546875" customWidth="1"/>
    <col min="13" max="13" width="29.140625" customWidth="1"/>
    <col min="14" max="14" width="20.5703125" customWidth="1"/>
    <col min="15" max="15" width="19" customWidth="1"/>
    <col min="16" max="16" width="86.42578125" customWidth="1"/>
    <col min="17" max="17" width="111.7109375" bestFit="1" customWidth="1"/>
    <col min="18" max="18" width="16.140625" bestFit="1" customWidth="1"/>
    <col min="19" max="19" width="126.140625" bestFit="1" customWidth="1"/>
    <col min="21" max="21" width="22.5703125" bestFit="1" customWidth="1"/>
  </cols>
  <sheetData>
    <row r="1" spans="1:19" x14ac:dyDescent="0.25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41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40</v>
      </c>
      <c r="M1" t="s">
        <v>33</v>
      </c>
      <c r="N1" t="s">
        <v>34</v>
      </c>
      <c r="O1" t="s">
        <v>35</v>
      </c>
      <c r="P1" t="s">
        <v>31</v>
      </c>
      <c r="Q1" t="s">
        <v>15</v>
      </c>
      <c r="R1" t="s">
        <v>27</v>
      </c>
      <c r="S1" t="s">
        <v>8</v>
      </c>
    </row>
    <row r="2" spans="1:19" x14ac:dyDescent="0.25">
      <c r="A2" t="s">
        <v>17</v>
      </c>
      <c r="B2" t="str">
        <f>LOWER(A2)</f>
        <v>accident</v>
      </c>
      <c r="C2" t="s">
        <v>32</v>
      </c>
      <c r="D2" t="str">
        <f>LOWER(A2)</f>
        <v>accident</v>
      </c>
      <c r="E2" s="1">
        <v>2007</v>
      </c>
      <c r="F2" s="1" t="str">
        <f>IF(E2&lt;=2014,A2,IF(OR(E2=2015,E2=2018,E2=2020,E2=2021,E2=2022,E2=2023),B2,IF(OR(E2=2016,E2=2017),C2,IF(E2=2019,D2,""))))</f>
        <v>ACCIDENT</v>
      </c>
      <c r="G2" t="s">
        <v>7</v>
      </c>
      <c r="H2" t="s">
        <v>11</v>
      </c>
      <c r="I2" t="s">
        <v>23</v>
      </c>
      <c r="J2" t="s">
        <v>28</v>
      </c>
      <c r="K2" t="s">
        <v>29</v>
      </c>
      <c r="L2" t="str">
        <f>CONCATENATE(G2,E2,H2,E2,I2,H2,E2,I2,J2,A2,K2)</f>
        <v>Raw Data/2007/FARS2007NationalCSV/FARS2007NationalCSV/ACCIDENT.CSV</v>
      </c>
      <c r="M2" t="str">
        <f>CONCATENATE(G2,E2,H2,E2,I2,H2,E2,I2,J2,B2,K2)</f>
        <v>Raw Data/2007/FARS2007NationalCSV/FARS2007NationalCSV/accident.CSV</v>
      </c>
      <c r="N2" t="str">
        <f>CONCATENATE(G2,E2,H2,E2,I2,H2,E2,I2,J2,C2,K2)</f>
        <v>Raw Data/2007/FARS2007NationalCSV/FARS2007NationalCSV/accident.CSV</v>
      </c>
      <c r="O2" t="str">
        <f>CONCATENATE(H2,G2,I2,G2,J2,I2,G2,J2,K2,D2,L2)</f>
        <v>/FARSRaw Data/NationalCSVRaw Data//NationalCSVRaw Data//.CSVaccidentRaw Data/2007/FARS2007NationalCSV/FARS2007NationalCSV/ACCIDENT.CSV</v>
      </c>
      <c r="P2" t="str">
        <f>IF(E2&lt;=2014,L2,M2)</f>
        <v>Raw Data/2007/FARS2007NationalCSV/FARS2007NationalCSV/ACCIDENT.CSV</v>
      </c>
      <c r="Q2" t="str">
        <f>CONCATENATE(LOWER(A2),E2," &lt;- ","read.csv(",CHAR(34),P2,CHAR(34),")")</f>
        <v>accident2007 &lt;- read.csv("Raw Data/2007/FARS2007NationalCSV/FARS2007NationalCSV/ACCIDENT.CSV")</v>
      </c>
      <c r="R2" t="str">
        <f>CONCATENATE(LOWER(A2),E2)</f>
        <v>accident2007</v>
      </c>
      <c r="S2" t="s">
        <v>24</v>
      </c>
    </row>
    <row r="3" spans="1:19" x14ac:dyDescent="0.25">
      <c r="A3" t="s">
        <v>17</v>
      </c>
      <c r="B3" t="str">
        <f t="shared" ref="B3:B52" si="0">LOWER(A3)</f>
        <v>accident</v>
      </c>
      <c r="C3" t="s">
        <v>32</v>
      </c>
      <c r="D3" t="str">
        <f t="shared" ref="D3:D18" si="1">LOWER(A3)</f>
        <v>accident</v>
      </c>
      <c r="E3">
        <v>2008</v>
      </c>
      <c r="F3" s="1" t="str">
        <f t="shared" ref="F3:F52" si="2">IF(E3&lt;=2014,A3,IF(OR(E3=2015,E3=2018,E3=2020,E3=2021,E3=2022,E3=2023),B3,IF(OR(E3=2016,E3=2017),C3,IF(E3=2019,D3,""))))</f>
        <v>ACCIDENT</v>
      </c>
      <c r="G3" t="s">
        <v>7</v>
      </c>
      <c r="H3" t="s">
        <v>11</v>
      </c>
      <c r="I3" t="s">
        <v>23</v>
      </c>
      <c r="J3" t="s">
        <v>28</v>
      </c>
      <c r="K3" t="s">
        <v>29</v>
      </c>
      <c r="L3" t="str">
        <f>CONCATENATE(G3,E3,H3,E3,I3,H3,E3,I3,J3,A3,K3)</f>
        <v>Raw Data/2008/FARS2008NationalCSV/FARS2008NationalCSV/ACCIDENT.CSV</v>
      </c>
      <c r="M3" t="str">
        <f>CONCATENATE(G3,E3,H3,E3,I3,H3,E3,I3,J3,B3,K3)</f>
        <v>Raw Data/2008/FARS2008NationalCSV/FARS2008NationalCSV/accident.CSV</v>
      </c>
      <c r="N3" t="str">
        <f>CONCATENATE(G4,E4,H4,E4,I4,H4,E4,I4,J4,C4,K4)</f>
        <v>Raw Data/2009/FARS2009NationalCSV/FARS2009NationalCSV/accident.CSV</v>
      </c>
      <c r="O3" t="str">
        <f>CONCATENATE(H3,G3,I3,G3,J3,I3,G3,J3,K3,D3,L3)</f>
        <v>/FARSRaw Data/NationalCSVRaw Data//NationalCSVRaw Data//.CSVaccidentRaw Data/2008/FARS2008NationalCSV/FARS2008NationalCSV/ACCIDENT.CSV</v>
      </c>
      <c r="P3" t="str">
        <f>IF(E3&lt;=2014,L3,M3)</f>
        <v>Raw Data/2008/FARS2008NationalCSV/FARS2008NationalCSV/ACCIDENT.CSV</v>
      </c>
      <c r="Q3" t="str">
        <f>CONCATENATE(LOWER(A3),E3," &lt;- ","read.csv(",CHAR(34),P3,CHAR(34),")")</f>
        <v>accident2008 &lt;- read.csv("Raw Data/2008/FARS2008NationalCSV/FARS2008NationalCSV/ACCIDENT.CSV")</v>
      </c>
      <c r="R3" t="str">
        <f>CONCATENATE(LOWER(A3),E3)</f>
        <v>accident2008</v>
      </c>
    </row>
    <row r="4" spans="1:19" x14ac:dyDescent="0.25">
      <c r="A4" t="s">
        <v>17</v>
      </c>
      <c r="B4" t="str">
        <f t="shared" si="0"/>
        <v>accident</v>
      </c>
      <c r="C4" t="s">
        <v>32</v>
      </c>
      <c r="D4" t="str">
        <f t="shared" si="1"/>
        <v>accident</v>
      </c>
      <c r="E4" s="1">
        <v>2009</v>
      </c>
      <c r="F4" s="1" t="str">
        <f t="shared" si="2"/>
        <v>ACCIDENT</v>
      </c>
      <c r="G4" t="s">
        <v>7</v>
      </c>
      <c r="H4" t="s">
        <v>11</v>
      </c>
      <c r="I4" t="s">
        <v>23</v>
      </c>
      <c r="J4" t="s">
        <v>28</v>
      </c>
      <c r="K4" t="s">
        <v>29</v>
      </c>
      <c r="L4" t="str">
        <f>CONCATENATE(G4,E4,H4,E4,I4,H4,E4,I4,J4,A4,K4)</f>
        <v>Raw Data/2009/FARS2009NationalCSV/FARS2009NationalCSV/ACCIDENT.CSV</v>
      </c>
      <c r="M4" t="str">
        <f>CONCATENATE(G4,E4,H4,E4,I4,H4,E4,I4,J4,B4,K4)</f>
        <v>Raw Data/2009/FARS2009NationalCSV/FARS2009NationalCSV/accident.CSV</v>
      </c>
      <c r="N4" t="str">
        <f>CONCATENATE(G5,E5,H5,E5,I5,H5,E5,I5,J5,C5,K5)</f>
        <v>Raw Data/2010/FARS2010NationalCSV/FARS2010NationalCSV/accident.CSV</v>
      </c>
      <c r="O4" t="str">
        <f>CONCATENATE(H4,G4,I4,G4,J4,I4,G4,J4,K4,D4,L4)</f>
        <v>/FARSRaw Data/NationalCSVRaw Data//NationalCSVRaw Data//.CSVaccidentRaw Data/2009/FARS2009NationalCSV/FARS2009NationalCSV/ACCIDENT.CSV</v>
      </c>
      <c r="P4" t="str">
        <f>IF(E4&lt;=2014,L4,M4)</f>
        <v>Raw Data/2009/FARS2009NationalCSV/FARS2009NationalCSV/ACCIDENT.CSV</v>
      </c>
      <c r="Q4" t="str">
        <f>CONCATENATE(LOWER(A4),E4," &lt;- ","read.csv(",CHAR(34),P4,CHAR(34),")")</f>
        <v>accident2009 &lt;- read.csv("Raw Data/2009/FARS2009NationalCSV/FARS2009NationalCSV/ACCIDENT.CSV")</v>
      </c>
      <c r="R4" t="str">
        <f>CONCATENATE(LOWER(A4),E4)</f>
        <v>accident2009</v>
      </c>
    </row>
    <row r="5" spans="1:19" x14ac:dyDescent="0.25">
      <c r="A5" t="s">
        <v>17</v>
      </c>
      <c r="B5" t="str">
        <f t="shared" si="0"/>
        <v>accident</v>
      </c>
      <c r="C5" t="s">
        <v>32</v>
      </c>
      <c r="D5" t="str">
        <f t="shared" si="1"/>
        <v>accident</v>
      </c>
      <c r="E5">
        <v>2010</v>
      </c>
      <c r="F5" s="1" t="str">
        <f t="shared" si="2"/>
        <v>ACCIDENT</v>
      </c>
      <c r="G5" t="s">
        <v>7</v>
      </c>
      <c r="H5" t="s">
        <v>11</v>
      </c>
      <c r="I5" t="s">
        <v>23</v>
      </c>
      <c r="J5" t="s">
        <v>28</v>
      </c>
      <c r="K5" t="s">
        <v>29</v>
      </c>
      <c r="L5" t="str">
        <f>CONCATENATE(G5,E5,H5,E5,I5,H5,E5,I5,J5,A5,K5)</f>
        <v>Raw Data/2010/FARS2010NationalCSV/FARS2010NationalCSV/ACCIDENT.CSV</v>
      </c>
      <c r="M5" t="str">
        <f>CONCATENATE(G5,E5,H5,E5,I5,H5,E5,I5,J5,B5,K5)</f>
        <v>Raw Data/2010/FARS2010NationalCSV/FARS2010NationalCSV/accident.CSV</v>
      </c>
      <c r="N5" t="str">
        <f>CONCATENATE(G6,E6,H6,E6,I6,H6,E6,I6,J6,C6,K6)</f>
        <v>Raw Data/2011/FARS2011NationalCSV/FARS2011NationalCSV/accident.CSV</v>
      </c>
      <c r="O5" t="str">
        <f>CONCATENATE(H5,G5,I5,G5,J5,I5,G5,J5,K5,D5,L5)</f>
        <v>/FARSRaw Data/NationalCSVRaw Data//NationalCSVRaw Data//.CSVaccidentRaw Data/2010/FARS2010NationalCSV/FARS2010NationalCSV/ACCIDENT.CSV</v>
      </c>
      <c r="P5" t="str">
        <f>IF(E5&lt;=2014,L5,M5)</f>
        <v>Raw Data/2010/FARS2010NationalCSV/FARS2010NationalCSV/ACCIDENT.CSV</v>
      </c>
      <c r="Q5" t="str">
        <f>CONCATENATE(LOWER(A5),E5," &lt;- ","read.csv(",CHAR(34),P5,CHAR(34),")")</f>
        <v>accident2010 &lt;- read.csv("Raw Data/2010/FARS2010NationalCSV/FARS2010NationalCSV/ACCIDENT.CSV")</v>
      </c>
      <c r="R5" t="str">
        <f>CONCATENATE(LOWER(A5),E5)</f>
        <v>accident2010</v>
      </c>
    </row>
    <row r="6" spans="1:19" x14ac:dyDescent="0.25">
      <c r="A6" t="s">
        <v>17</v>
      </c>
      <c r="B6" t="str">
        <f t="shared" si="0"/>
        <v>accident</v>
      </c>
      <c r="C6" t="s">
        <v>32</v>
      </c>
      <c r="D6" t="str">
        <f t="shared" si="1"/>
        <v>accident</v>
      </c>
      <c r="E6" s="1">
        <v>2011</v>
      </c>
      <c r="F6" s="1" t="str">
        <f t="shared" si="2"/>
        <v>ACCIDENT</v>
      </c>
      <c r="G6" t="s">
        <v>7</v>
      </c>
      <c r="H6" t="s">
        <v>11</v>
      </c>
      <c r="I6" t="s">
        <v>23</v>
      </c>
      <c r="J6" t="s">
        <v>28</v>
      </c>
      <c r="K6" t="s">
        <v>29</v>
      </c>
      <c r="L6" t="str">
        <f>CONCATENATE(G6,E6,H6,E6,I6,H6,E6,I6,J6,A6,K6)</f>
        <v>Raw Data/2011/FARS2011NationalCSV/FARS2011NationalCSV/ACCIDENT.CSV</v>
      </c>
      <c r="M6" t="str">
        <f>CONCATENATE(G6,E6,H6,E6,I6,H6,E6,I6,J6,B6,K6)</f>
        <v>Raw Data/2011/FARS2011NationalCSV/FARS2011NationalCSV/accident.CSV</v>
      </c>
      <c r="N6" t="str">
        <f>CONCATENATE(G7,E7,H7,E7,I7,H7,E7,I7,J7,C7,K7)</f>
        <v>Raw Data/2012/FARS2012NationalCSV/FARS2012NationalCSV/accident.CSV</v>
      </c>
      <c r="O6" t="str">
        <f>CONCATENATE(H6,G6,I6,G6,J6,I6,G6,J6,K6,D6,L6)</f>
        <v>/FARSRaw Data/NationalCSVRaw Data//NationalCSVRaw Data//.CSVaccidentRaw Data/2011/FARS2011NationalCSV/FARS2011NationalCSV/ACCIDENT.CSV</v>
      </c>
      <c r="P6" t="str">
        <f>IF(E6&lt;=2014,L6,M6)</f>
        <v>Raw Data/2011/FARS2011NationalCSV/FARS2011NationalCSV/ACCIDENT.CSV</v>
      </c>
      <c r="Q6" t="str">
        <f>CONCATENATE(LOWER(A6),E6," &lt;- ","read.csv(",CHAR(34),P6,CHAR(34),")")</f>
        <v>accident2011 &lt;- read.csv("Raw Data/2011/FARS2011NationalCSV/FARS2011NationalCSV/ACCIDENT.CSV")</v>
      </c>
      <c r="R6" t="str">
        <f>CONCATENATE(LOWER(A6),E6)</f>
        <v>accident2011</v>
      </c>
    </row>
    <row r="7" spans="1:19" x14ac:dyDescent="0.25">
      <c r="A7" t="s">
        <v>17</v>
      </c>
      <c r="B7" t="str">
        <f t="shared" si="0"/>
        <v>accident</v>
      </c>
      <c r="C7" t="s">
        <v>32</v>
      </c>
      <c r="D7" t="str">
        <f t="shared" si="1"/>
        <v>accident</v>
      </c>
      <c r="E7">
        <v>2012</v>
      </c>
      <c r="F7" s="1" t="str">
        <f t="shared" si="2"/>
        <v>ACCIDENT</v>
      </c>
      <c r="G7" t="s">
        <v>7</v>
      </c>
      <c r="H7" t="s">
        <v>11</v>
      </c>
      <c r="I7" t="s">
        <v>23</v>
      </c>
      <c r="J7" t="s">
        <v>28</v>
      </c>
      <c r="K7" t="s">
        <v>29</v>
      </c>
      <c r="L7" t="str">
        <f>CONCATENATE(G7,E7,H7,E7,I7,H7,E7,I7,J7,A7,K7)</f>
        <v>Raw Data/2012/FARS2012NationalCSV/FARS2012NationalCSV/ACCIDENT.CSV</v>
      </c>
      <c r="M7" t="str">
        <f>CONCATENATE(G7,E7,H7,E7,I7,H7,E7,I7,J7,B7,K7)</f>
        <v>Raw Data/2012/FARS2012NationalCSV/FARS2012NationalCSV/accident.CSV</v>
      </c>
      <c r="N7" t="str">
        <f>CONCATENATE(G8,E8,H8,E8,I8,H8,E8,I8,J8,C8,K8)</f>
        <v>Raw Data/2013/FARS2013NationalCSV/FARS2013NationalCSV/accident.CSV</v>
      </c>
      <c r="O7" t="str">
        <f>CONCATENATE(H7,G7,I7,G7,J7,I7,G7,J7,K7,D7,L7)</f>
        <v>/FARSRaw Data/NationalCSVRaw Data//NationalCSVRaw Data//.CSVaccidentRaw Data/2012/FARS2012NationalCSV/FARS2012NationalCSV/ACCIDENT.CSV</v>
      </c>
      <c r="P7" t="str">
        <f>IF(E7&lt;=2014,L7,M7)</f>
        <v>Raw Data/2012/FARS2012NationalCSV/FARS2012NationalCSV/ACCIDENT.CSV</v>
      </c>
      <c r="Q7" t="str">
        <f>CONCATENATE(LOWER(A7),E7," &lt;- ","read.csv(",CHAR(34),P7,CHAR(34),")")</f>
        <v>accident2012 &lt;- read.csv("Raw Data/2012/FARS2012NationalCSV/FARS2012NationalCSV/ACCIDENT.CSV")</v>
      </c>
      <c r="R7" t="str">
        <f>CONCATENATE(LOWER(A7),E7)</f>
        <v>accident2012</v>
      </c>
    </row>
    <row r="8" spans="1:19" x14ac:dyDescent="0.25">
      <c r="A8" t="s">
        <v>17</v>
      </c>
      <c r="B8" t="str">
        <f t="shared" si="0"/>
        <v>accident</v>
      </c>
      <c r="C8" t="s">
        <v>32</v>
      </c>
      <c r="D8" t="str">
        <f t="shared" si="1"/>
        <v>accident</v>
      </c>
      <c r="E8" s="1">
        <v>2013</v>
      </c>
      <c r="F8" s="1" t="str">
        <f t="shared" si="2"/>
        <v>ACCIDENT</v>
      </c>
      <c r="G8" t="s">
        <v>7</v>
      </c>
      <c r="H8" t="s">
        <v>11</v>
      </c>
      <c r="I8" t="s">
        <v>23</v>
      </c>
      <c r="J8" t="s">
        <v>28</v>
      </c>
      <c r="K8" t="s">
        <v>29</v>
      </c>
      <c r="L8" t="str">
        <f>CONCATENATE(G8,E8,H8,E8,I8,H8,E8,I8,J8,A8,K8)</f>
        <v>Raw Data/2013/FARS2013NationalCSV/FARS2013NationalCSV/ACCIDENT.CSV</v>
      </c>
      <c r="M8" t="str">
        <f>CONCATENATE(G8,E8,H8,E8,I8,H8,E8,I8,J8,B8,K8)</f>
        <v>Raw Data/2013/FARS2013NationalCSV/FARS2013NationalCSV/accident.CSV</v>
      </c>
      <c r="N8" t="str">
        <f>CONCATENATE(G9,E9,H9,E9,I9,H9,E9,I9,J9,C9,K9)</f>
        <v>Raw Data/2014/FARS2014NationalCSV/FARS2014NationalCSV/accident.CSV</v>
      </c>
      <c r="O8" t="str">
        <f>CONCATENATE(H8,G8,I8,G8,J8,I8,G8,J8,K8,D8,L8)</f>
        <v>/FARSRaw Data/NationalCSVRaw Data//NationalCSVRaw Data//.CSVaccidentRaw Data/2013/FARS2013NationalCSV/FARS2013NationalCSV/ACCIDENT.CSV</v>
      </c>
      <c r="P8" t="str">
        <f>IF(E8&lt;=2014,L8,M8)</f>
        <v>Raw Data/2013/FARS2013NationalCSV/FARS2013NationalCSV/ACCIDENT.CSV</v>
      </c>
      <c r="Q8" t="str">
        <f>CONCATENATE(LOWER(A8),E8," &lt;- ","read.csv(",CHAR(34),P8,CHAR(34),")")</f>
        <v>accident2013 &lt;- read.csv("Raw Data/2013/FARS2013NationalCSV/FARS2013NationalCSV/ACCIDENT.CSV")</v>
      </c>
      <c r="R8" t="str">
        <f>CONCATENATE(LOWER(A8),E8)</f>
        <v>accident2013</v>
      </c>
    </row>
    <row r="9" spans="1:19" x14ac:dyDescent="0.25">
      <c r="A9" t="s">
        <v>17</v>
      </c>
      <c r="B9" t="str">
        <f t="shared" si="0"/>
        <v>accident</v>
      </c>
      <c r="C9" t="s">
        <v>32</v>
      </c>
      <c r="D9" t="str">
        <f t="shared" si="1"/>
        <v>accident</v>
      </c>
      <c r="E9">
        <v>2014</v>
      </c>
      <c r="F9" s="1" t="str">
        <f t="shared" si="2"/>
        <v>ACCIDENT</v>
      </c>
      <c r="G9" t="s">
        <v>7</v>
      </c>
      <c r="H9" t="s">
        <v>11</v>
      </c>
      <c r="I9" t="s">
        <v>23</v>
      </c>
      <c r="J9" t="s">
        <v>28</v>
      </c>
      <c r="K9" t="s">
        <v>29</v>
      </c>
      <c r="L9" t="str">
        <f>CONCATENATE(G9,E9,H9,E9,I9,H9,E9,I9,J9,A9,K9)</f>
        <v>Raw Data/2014/FARS2014NationalCSV/FARS2014NationalCSV/ACCIDENT.CSV</v>
      </c>
      <c r="M9" t="str">
        <f>CONCATENATE(G9,E9,H9,E9,I9,H9,E9,I9,J9,B9,K9)</f>
        <v>Raw Data/2014/FARS2014NationalCSV/FARS2014NationalCSV/accident.CSV</v>
      </c>
      <c r="N9" t="str">
        <f>CONCATENATE(G10,E10,H10,E10,I10,H10,E10,I10,J10,C10,K10)</f>
        <v>Raw Data/2015/FARS2015NationalCSV/FARS2015NationalCSV/accident.CSV</v>
      </c>
      <c r="O9" t="str">
        <f>CONCATENATE(H9,G9,I9,G9,J9,I9,G9,J9,K9,D9,L9)</f>
        <v>/FARSRaw Data/NationalCSVRaw Data//NationalCSVRaw Data//.CSVaccidentRaw Data/2014/FARS2014NationalCSV/FARS2014NationalCSV/ACCIDENT.CSV</v>
      </c>
      <c r="P9" t="str">
        <f>IF(E9&lt;=2014,L9,M9)</f>
        <v>Raw Data/2014/FARS2014NationalCSV/FARS2014NationalCSV/ACCIDENT.CSV</v>
      </c>
      <c r="Q9" t="str">
        <f>CONCATENATE(LOWER(A9),E9," &lt;- ","read.csv(",CHAR(34),P9,CHAR(34),")")</f>
        <v>accident2014 &lt;- read.csv("Raw Data/2014/FARS2014NationalCSV/FARS2014NationalCSV/ACCIDENT.CSV")</v>
      </c>
      <c r="R9" t="str">
        <f>CONCATENATE(LOWER(A9),E9)</f>
        <v>accident2014</v>
      </c>
    </row>
    <row r="10" spans="1:19" x14ac:dyDescent="0.25">
      <c r="A10" t="s">
        <v>17</v>
      </c>
      <c r="B10" t="str">
        <f t="shared" si="0"/>
        <v>accident</v>
      </c>
      <c r="C10" t="s">
        <v>32</v>
      </c>
      <c r="D10" t="str">
        <f t="shared" si="1"/>
        <v>accident</v>
      </c>
      <c r="E10" s="1">
        <v>2015</v>
      </c>
      <c r="F10" s="1" t="str">
        <f t="shared" si="2"/>
        <v>accident</v>
      </c>
      <c r="G10" t="s">
        <v>7</v>
      </c>
      <c r="H10" t="s">
        <v>11</v>
      </c>
      <c r="I10" t="s">
        <v>23</v>
      </c>
      <c r="J10" t="s">
        <v>28</v>
      </c>
      <c r="K10" t="s">
        <v>29</v>
      </c>
      <c r="L10" t="str">
        <f>CONCATENATE(G10,E10,H10,E10,I10,H10,E10,I10,J10,A10,K10)</f>
        <v>Raw Data/2015/FARS2015NationalCSV/FARS2015NationalCSV/ACCIDENT.CSV</v>
      </c>
      <c r="M10" t="str">
        <f>CONCATENATE(G10,E10,H10,E10,I10,H10,E10,I10,J10,B10,K10)</f>
        <v>Raw Data/2015/FARS2015NationalCSV/FARS2015NationalCSV/accident.CSV</v>
      </c>
      <c r="N10" t="str">
        <f>CONCATENATE(G11,E11,H11,E11,I11,H11,E11,I11,J11,C11,K11)</f>
        <v>Raw Data/2016/FARS2016NationalCSV/FARS2016NationalCSV/accident.CSV</v>
      </c>
      <c r="O10" t="str">
        <f>CONCATENATE(H10,G10,I10,G10,J10,I10,G10,J10,K10,D10,L10)</f>
        <v>/FARSRaw Data/NationalCSVRaw Data//NationalCSVRaw Data//.CSVaccidentRaw Data/2015/FARS2015NationalCSV/FARS2015NationalCSV/ACCIDENT.CSV</v>
      </c>
      <c r="P10" t="str">
        <f>IF(E10&lt;=2014,L10,M10)</f>
        <v>Raw Data/2015/FARS2015NationalCSV/FARS2015NationalCSV/accident.CSV</v>
      </c>
      <c r="Q10" t="str">
        <f>CONCATENATE(LOWER(A10),E10," &lt;- ","read.csv(",CHAR(34),P10,CHAR(34),")")</f>
        <v>accident2015 &lt;- read.csv("Raw Data/2015/FARS2015NationalCSV/FARS2015NationalCSV/accident.CSV")</v>
      </c>
      <c r="R10" t="str">
        <f>CONCATENATE(LOWER(A10),E10)</f>
        <v>accident2015</v>
      </c>
      <c r="S10" t="s">
        <v>30</v>
      </c>
    </row>
    <row r="11" spans="1:19" x14ac:dyDescent="0.25">
      <c r="A11" t="s">
        <v>17</v>
      </c>
      <c r="B11" t="str">
        <f t="shared" si="0"/>
        <v>accident</v>
      </c>
      <c r="C11" t="s">
        <v>32</v>
      </c>
      <c r="D11" t="str">
        <f t="shared" si="1"/>
        <v>accident</v>
      </c>
      <c r="E11">
        <v>2016</v>
      </c>
      <c r="F11" s="1" t="str">
        <f t="shared" si="2"/>
        <v>accident</v>
      </c>
      <c r="G11" t="s">
        <v>7</v>
      </c>
      <c r="H11" t="s">
        <v>11</v>
      </c>
      <c r="I11" t="s">
        <v>23</v>
      </c>
      <c r="J11" t="s">
        <v>28</v>
      </c>
      <c r="K11" t="s">
        <v>29</v>
      </c>
      <c r="L11" t="str">
        <f>CONCATENATE(G11,E11,H11,E11,I11,H11,E11,I11,J11,A11,K11)</f>
        <v>Raw Data/2016/FARS2016NationalCSV/FARS2016NationalCSV/ACCIDENT.CSV</v>
      </c>
      <c r="M11" t="str">
        <f>CONCATENATE(G11,E11,H11,E11,I11,H11,E11,I11,J11,B11,K11)</f>
        <v>Raw Data/2016/FARS2016NationalCSV/FARS2016NationalCSV/accident.CSV</v>
      </c>
      <c r="N11" t="str">
        <f>CONCATENATE(G12,E12,H12,E12,I12,H12,E12,I12,J12,C12,K12)</f>
        <v>Raw Data/2017/FARS2017NationalCSV/FARS2017NationalCSV/accident.CSV</v>
      </c>
      <c r="O11" t="str">
        <f>CONCATENATE(H11,G11,I11,G11,J11,I11,G11,J11,K11,D11,L11)</f>
        <v>/FARSRaw Data/NationalCSVRaw Data//NationalCSVRaw Data//.CSVaccidentRaw Data/2016/FARS2016NationalCSV/FARS2016NationalCSV/ACCIDENT.CSV</v>
      </c>
      <c r="P11" t="str">
        <f>IF(E11&lt;=2014,L11,M11)</f>
        <v>Raw Data/2016/FARS2016NationalCSV/FARS2016NationalCSV/accident.CSV</v>
      </c>
      <c r="Q11" t="str">
        <f>CONCATENATE(LOWER(A11),E11," &lt;- ","read.csv(",CHAR(34),P11,CHAR(34),")")</f>
        <v>accident2016 &lt;- read.csv("Raw Data/2016/FARS2016NationalCSV/FARS2016NationalCSV/accident.CSV")</v>
      </c>
      <c r="R11" t="str">
        <f>CONCATENATE(LOWER(A11),E11)</f>
        <v>accident2016</v>
      </c>
    </row>
    <row r="12" spans="1:19" x14ac:dyDescent="0.25">
      <c r="A12" t="s">
        <v>17</v>
      </c>
      <c r="B12" t="str">
        <f t="shared" si="0"/>
        <v>accident</v>
      </c>
      <c r="C12" t="s">
        <v>32</v>
      </c>
      <c r="D12" t="str">
        <f t="shared" si="1"/>
        <v>accident</v>
      </c>
      <c r="E12" s="1">
        <v>2017</v>
      </c>
      <c r="F12" s="1" t="str">
        <f t="shared" si="2"/>
        <v>accident</v>
      </c>
      <c r="G12" t="s">
        <v>7</v>
      </c>
      <c r="H12" t="s">
        <v>11</v>
      </c>
      <c r="I12" t="s">
        <v>23</v>
      </c>
      <c r="J12" t="s">
        <v>28</v>
      </c>
      <c r="K12" t="s">
        <v>29</v>
      </c>
      <c r="L12" t="str">
        <f>CONCATENATE(G12,E12,H12,E12,I12,H12,E12,I12,J12,A12,K12)</f>
        <v>Raw Data/2017/FARS2017NationalCSV/FARS2017NationalCSV/ACCIDENT.CSV</v>
      </c>
      <c r="M12" t="str">
        <f>CONCATENATE(G12,E12,H12,E12,I12,H12,E12,I12,J12,B12,K12)</f>
        <v>Raw Data/2017/FARS2017NationalCSV/FARS2017NationalCSV/accident.CSV</v>
      </c>
      <c r="N12" t="str">
        <f>CONCATENATE(G13,E13,H13,E13,I13,H13,E13,I13,J13,C13,K13)</f>
        <v>Raw Data/2018/FARS2018NationalCSV/FARS2018NationalCSV/accident.CSV</v>
      </c>
      <c r="O12" t="str">
        <f>CONCATENATE(H12,G12,I12,G12,J12,I12,G12,J12,K12,D12,L12)</f>
        <v>/FARSRaw Data/NationalCSVRaw Data//NationalCSVRaw Data//.CSVaccidentRaw Data/2017/FARS2017NationalCSV/FARS2017NationalCSV/ACCIDENT.CSV</v>
      </c>
      <c r="P12" t="str">
        <f>IF(E12&lt;=2014,L12,M12)</f>
        <v>Raw Data/2017/FARS2017NationalCSV/FARS2017NationalCSV/accident.CSV</v>
      </c>
      <c r="Q12" t="str">
        <f>CONCATENATE(LOWER(A12),E12," &lt;- ","read.csv(",CHAR(34),P12,CHAR(34),")")</f>
        <v>accident2017 &lt;- read.csv("Raw Data/2017/FARS2017NationalCSV/FARS2017NationalCSV/accident.CSV")</v>
      </c>
      <c r="R12" t="str">
        <f>CONCATENATE(LOWER(A12),E12)</f>
        <v>accident2017</v>
      </c>
    </row>
    <row r="13" spans="1:19" x14ac:dyDescent="0.25">
      <c r="A13" t="s">
        <v>17</v>
      </c>
      <c r="B13" t="str">
        <f t="shared" si="0"/>
        <v>accident</v>
      </c>
      <c r="C13" t="s">
        <v>32</v>
      </c>
      <c r="D13" t="str">
        <f t="shared" si="1"/>
        <v>accident</v>
      </c>
      <c r="E13">
        <v>2018</v>
      </c>
      <c r="F13" s="1" t="str">
        <f t="shared" si="2"/>
        <v>accident</v>
      </c>
      <c r="G13" t="s">
        <v>7</v>
      </c>
      <c r="H13" t="s">
        <v>11</v>
      </c>
      <c r="I13" t="s">
        <v>23</v>
      </c>
      <c r="J13" t="s">
        <v>28</v>
      </c>
      <c r="K13" t="s">
        <v>29</v>
      </c>
      <c r="L13" t="str">
        <f>CONCATENATE(G13,E13,H13,E13,I13,H13,E13,I13,J13,A13,K13)</f>
        <v>Raw Data/2018/FARS2018NationalCSV/FARS2018NationalCSV/ACCIDENT.CSV</v>
      </c>
      <c r="M13" t="str">
        <f>CONCATENATE(G13,E13,H13,E13,I13,H13,E13,I13,J13,B13,K13)</f>
        <v>Raw Data/2018/FARS2018NationalCSV/FARS2018NationalCSV/accident.CSV</v>
      </c>
      <c r="N13" t="str">
        <f>CONCATENATE(G14,E14,H14,E14,I14,H14,E14,I14,J14,C14,K14)</f>
        <v>Raw Data/2019/FARS2019NationalCSV/FARS2019NationalCSV/accident.CSV</v>
      </c>
      <c r="O13" t="str">
        <f>CONCATENATE(H13,G13,I13,G13,J13,I13,G13,J13,K13,D13,L13)</f>
        <v>/FARSRaw Data/NationalCSVRaw Data//NationalCSVRaw Data//.CSVaccidentRaw Data/2018/FARS2018NationalCSV/FARS2018NationalCSV/ACCIDENT.CSV</v>
      </c>
      <c r="P13" t="str">
        <f>IF(E13&lt;=2014,L13,M13)</f>
        <v>Raw Data/2018/FARS2018NationalCSV/FARS2018NationalCSV/accident.CSV</v>
      </c>
      <c r="Q13" t="str">
        <f>CONCATENATE(LOWER(A13),E13," &lt;- ","read.csv(",CHAR(34),P13,CHAR(34),")")</f>
        <v>accident2018 &lt;- read.csv("Raw Data/2018/FARS2018NationalCSV/FARS2018NationalCSV/accident.CSV")</v>
      </c>
      <c r="R13" t="str">
        <f>CONCATENATE(LOWER(A13),E13)</f>
        <v>accident2018</v>
      </c>
    </row>
    <row r="14" spans="1:19" x14ac:dyDescent="0.25">
      <c r="A14" t="s">
        <v>17</v>
      </c>
      <c r="B14" t="str">
        <f t="shared" si="0"/>
        <v>accident</v>
      </c>
      <c r="C14" t="s">
        <v>32</v>
      </c>
      <c r="D14" t="str">
        <f t="shared" si="1"/>
        <v>accident</v>
      </c>
      <c r="E14" s="1">
        <v>2019</v>
      </c>
      <c r="F14" s="1" t="str">
        <f t="shared" si="2"/>
        <v>accident</v>
      </c>
      <c r="G14" t="s">
        <v>7</v>
      </c>
      <c r="H14" t="s">
        <v>11</v>
      </c>
      <c r="I14" t="s">
        <v>23</v>
      </c>
      <c r="J14" t="s">
        <v>28</v>
      </c>
      <c r="K14" t="s">
        <v>29</v>
      </c>
      <c r="L14" t="str">
        <f>CONCATENATE(G14,E14,H14,E14,I14,H14,E14,I14,J14,A14,K14)</f>
        <v>Raw Data/2019/FARS2019NationalCSV/FARS2019NationalCSV/ACCIDENT.CSV</v>
      </c>
      <c r="M14" t="str">
        <f>CONCATENATE(G14,E14,H14,E14,I14,H14,E14,I14,J14,B14,K14)</f>
        <v>Raw Data/2019/FARS2019NationalCSV/FARS2019NationalCSV/accident.CSV</v>
      </c>
      <c r="N14" t="str">
        <f>CONCATENATE(G15,E15,H15,E15,I15,H15,E15,I15,J15,C15,K15)</f>
        <v>Raw Data/2020/FARS2020NationalCSV/FARS2020NationalCSV/accident.CSV</v>
      </c>
      <c r="O14" t="str">
        <f>CONCATENATE(H14,G14,I14,G14,J14,I14,G14,J14,K14,D14,L14)</f>
        <v>/FARSRaw Data/NationalCSVRaw Data//NationalCSVRaw Data//.CSVaccidentRaw Data/2019/FARS2019NationalCSV/FARS2019NationalCSV/ACCIDENT.CSV</v>
      </c>
      <c r="P14" t="str">
        <f>IF(E14&lt;=2014,L14,M14)</f>
        <v>Raw Data/2019/FARS2019NationalCSV/FARS2019NationalCSV/accident.CSV</v>
      </c>
      <c r="Q14" t="str">
        <f>CONCATENATE(LOWER(A14),E14," &lt;- ","read.csv(",CHAR(34),P14,CHAR(34),")")</f>
        <v>accident2019 &lt;- read.csv("Raw Data/2019/FARS2019NationalCSV/FARS2019NationalCSV/accident.CSV")</v>
      </c>
      <c r="R14" t="str">
        <f>CONCATENATE(LOWER(A14),E14)</f>
        <v>accident2019</v>
      </c>
    </row>
    <row r="15" spans="1:19" x14ac:dyDescent="0.25">
      <c r="A15" t="s">
        <v>17</v>
      </c>
      <c r="B15" t="str">
        <f t="shared" si="0"/>
        <v>accident</v>
      </c>
      <c r="C15" t="s">
        <v>32</v>
      </c>
      <c r="D15" t="str">
        <f t="shared" si="1"/>
        <v>accident</v>
      </c>
      <c r="E15">
        <v>2020</v>
      </c>
      <c r="F15" s="1" t="str">
        <f t="shared" si="2"/>
        <v>accident</v>
      </c>
      <c r="G15" t="s">
        <v>7</v>
      </c>
      <c r="H15" t="s">
        <v>11</v>
      </c>
      <c r="I15" t="s">
        <v>23</v>
      </c>
      <c r="J15" t="s">
        <v>28</v>
      </c>
      <c r="K15" t="s">
        <v>29</v>
      </c>
      <c r="L15" t="str">
        <f>CONCATENATE(G15,E15,H15,E15,I15,H15,E15,I15,J15,A15,K15)</f>
        <v>Raw Data/2020/FARS2020NationalCSV/FARS2020NationalCSV/ACCIDENT.CSV</v>
      </c>
      <c r="M15" t="str">
        <f>CONCATENATE(G15,E15,H15,E15,I15,H15,E15,I15,J15,B15,K15)</f>
        <v>Raw Data/2020/FARS2020NationalCSV/FARS2020NationalCSV/accident.CSV</v>
      </c>
      <c r="N15" t="str">
        <f>CONCATENATE(G16,E16,H16,E16,I16,H16,E16,I16,J16,C16,K16)</f>
        <v>Raw Data/2021/FARS2021NationalCSV/FARS2021NationalCSV/accident.CSV</v>
      </c>
      <c r="O15" t="str">
        <f>CONCATENATE(H15,G15,I15,G15,J15,I15,G15,J15,K15,D15,L15)</f>
        <v>/FARSRaw Data/NationalCSVRaw Data//NationalCSVRaw Data//.CSVaccidentRaw Data/2020/FARS2020NationalCSV/FARS2020NationalCSV/ACCIDENT.CSV</v>
      </c>
      <c r="P15" t="str">
        <f>IF(E15&lt;=2014,L15,M15)</f>
        <v>Raw Data/2020/FARS2020NationalCSV/FARS2020NationalCSV/accident.CSV</v>
      </c>
      <c r="Q15" t="str">
        <f>CONCATENATE(LOWER(A15),E15," &lt;- ","read.csv(",CHAR(34),P15,CHAR(34),")")</f>
        <v>accident2020 &lt;- read.csv("Raw Data/2020/FARS2020NationalCSV/FARS2020NationalCSV/accident.CSV")</v>
      </c>
      <c r="R15" t="str">
        <f>CONCATENATE(LOWER(A15),E15)</f>
        <v>accident2020</v>
      </c>
    </row>
    <row r="16" spans="1:19" x14ac:dyDescent="0.25">
      <c r="A16" t="s">
        <v>17</v>
      </c>
      <c r="B16" t="str">
        <f t="shared" si="0"/>
        <v>accident</v>
      </c>
      <c r="C16" t="s">
        <v>32</v>
      </c>
      <c r="D16" t="str">
        <f t="shared" si="1"/>
        <v>accident</v>
      </c>
      <c r="E16" s="1">
        <v>2021</v>
      </c>
      <c r="F16" s="1" t="str">
        <f t="shared" si="2"/>
        <v>accident</v>
      </c>
      <c r="G16" t="s">
        <v>7</v>
      </c>
      <c r="H16" t="s">
        <v>11</v>
      </c>
      <c r="I16" t="s">
        <v>23</v>
      </c>
      <c r="J16" t="s">
        <v>28</v>
      </c>
      <c r="K16" t="s">
        <v>29</v>
      </c>
      <c r="L16" t="str">
        <f>CONCATENATE(G16,E16,H16,E16,I16,H16,E16,I16,J16,A16,K16)</f>
        <v>Raw Data/2021/FARS2021NationalCSV/FARS2021NationalCSV/ACCIDENT.CSV</v>
      </c>
      <c r="M16" t="str">
        <f>CONCATENATE(G16,E16,H16,E16,I16,H16,E16,I16,J16,B16,K16)</f>
        <v>Raw Data/2021/FARS2021NationalCSV/FARS2021NationalCSV/accident.CSV</v>
      </c>
      <c r="N16" t="str">
        <f>CONCATENATE(G17,E17,H17,E17,I17,H17,E17,I17,J17,C17,K17)</f>
        <v>Raw Data/2022/FARS2022NationalCSV/FARS2022NationalCSV/accident.CSV</v>
      </c>
      <c r="O16" t="str">
        <f>CONCATENATE(H16,G16,I16,G16,J16,I16,G16,J16,K16,D16,L16)</f>
        <v>/FARSRaw Data/NationalCSVRaw Data//NationalCSVRaw Data//.CSVaccidentRaw Data/2021/FARS2021NationalCSV/FARS2021NationalCSV/ACCIDENT.CSV</v>
      </c>
      <c r="P16" t="str">
        <f>IF(E16&lt;=2014,L16,M16)</f>
        <v>Raw Data/2021/FARS2021NationalCSV/FARS2021NationalCSV/accident.CSV</v>
      </c>
      <c r="Q16" t="str">
        <f>CONCATENATE(LOWER(A16),E16," &lt;- ","read.csv(",CHAR(34),P16,CHAR(34),")")</f>
        <v>accident2021 &lt;- read.csv("Raw Data/2021/FARS2021NationalCSV/FARS2021NationalCSV/accident.CSV")</v>
      </c>
      <c r="R16" t="str">
        <f>CONCATENATE(LOWER(A16),E16)</f>
        <v>accident2021</v>
      </c>
    </row>
    <row r="17" spans="1:18" x14ac:dyDescent="0.25">
      <c r="A17" t="s">
        <v>17</v>
      </c>
      <c r="B17" t="str">
        <f t="shared" si="0"/>
        <v>accident</v>
      </c>
      <c r="C17" t="s">
        <v>32</v>
      </c>
      <c r="D17" t="str">
        <f t="shared" si="1"/>
        <v>accident</v>
      </c>
      <c r="E17">
        <v>2022</v>
      </c>
      <c r="F17" s="1" t="str">
        <f t="shared" si="2"/>
        <v>accident</v>
      </c>
      <c r="G17" t="s">
        <v>7</v>
      </c>
      <c r="H17" t="s">
        <v>11</v>
      </c>
      <c r="I17" t="s">
        <v>23</v>
      </c>
      <c r="J17" t="s">
        <v>28</v>
      </c>
      <c r="K17" t="s">
        <v>29</v>
      </c>
      <c r="L17" t="str">
        <f>CONCATENATE(G17,E17,H17,E17,I17,H17,E17,I17,J17,A17,K17)</f>
        <v>Raw Data/2022/FARS2022NationalCSV/FARS2022NationalCSV/ACCIDENT.CSV</v>
      </c>
      <c r="M17" t="str">
        <f>CONCATENATE(G17,E17,H17,E17,I17,H17,E17,I17,J17,B17,K17)</f>
        <v>Raw Data/2022/FARS2022NationalCSV/FARS2022NationalCSV/accident.CSV</v>
      </c>
      <c r="N17" t="str">
        <f>CONCATENATE(G18,E18,H18,E18,I18,H18,E18,I18,J18,C18,K18)</f>
        <v>Raw Data/2023/FARS2023NationalCSV/FARS2023NationalCSV/accident.CSV</v>
      </c>
      <c r="O17" t="str">
        <f>CONCATENATE(H17,G17,I17,G17,J17,I17,G17,J17,K17,D17,L17)</f>
        <v>/FARSRaw Data/NationalCSVRaw Data//NationalCSVRaw Data//.CSVaccidentRaw Data/2022/FARS2022NationalCSV/FARS2022NationalCSV/ACCIDENT.CSV</v>
      </c>
      <c r="P17" t="str">
        <f>IF(E17&lt;=2014,L17,M17)</f>
        <v>Raw Data/2022/FARS2022NationalCSV/FARS2022NationalCSV/accident.CSV</v>
      </c>
      <c r="Q17" t="str">
        <f>CONCATENATE(LOWER(A17),E17," &lt;- ","read.csv(",CHAR(34),P17,CHAR(34),")")</f>
        <v>accident2022 &lt;- read.csv("Raw Data/2022/FARS2022NationalCSV/FARS2022NationalCSV/accident.CSV")</v>
      </c>
      <c r="R17" t="str">
        <f>CONCATENATE(LOWER(A17),E17)</f>
        <v>accident2022</v>
      </c>
    </row>
    <row r="18" spans="1:18" x14ac:dyDescent="0.25">
      <c r="A18" t="s">
        <v>17</v>
      </c>
      <c r="B18" t="str">
        <f t="shared" si="0"/>
        <v>accident</v>
      </c>
      <c r="C18" t="s">
        <v>32</v>
      </c>
      <c r="D18" t="str">
        <f t="shared" si="1"/>
        <v>accident</v>
      </c>
      <c r="E18">
        <v>2023</v>
      </c>
      <c r="F18" s="1" t="str">
        <f t="shared" si="2"/>
        <v>accident</v>
      </c>
      <c r="G18" t="s">
        <v>7</v>
      </c>
      <c r="H18" t="s">
        <v>11</v>
      </c>
      <c r="I18" t="s">
        <v>23</v>
      </c>
      <c r="J18" t="s">
        <v>28</v>
      </c>
      <c r="K18" t="s">
        <v>29</v>
      </c>
      <c r="L18" t="str">
        <f>CONCATENATE(G18,E18,H18,E18,I18,H18,E18,I18,J18,A18,K18)</f>
        <v>Raw Data/2023/FARS2023NationalCSV/FARS2023NationalCSV/ACCIDENT.CSV</v>
      </c>
      <c r="M18" t="str">
        <f>CONCATENATE(G18,E18,H18,E18,I18,H18,E18,I18,J18,B18,K18)</f>
        <v>Raw Data/2023/FARS2023NationalCSV/FARS2023NationalCSV/accident.CSV</v>
      </c>
      <c r="N18" t="str">
        <f>CONCATENATE(G19,E19,H19,E19,I19,H19,E19,I19,J19,C19,K19)</f>
        <v>Raw Data/2007/FARS2007NationalCSV/FARS2007NationalCSV/Person.CSV</v>
      </c>
      <c r="O18" t="str">
        <f>CONCATENATE(H18,G18,I18,G18,J18,I18,G18,J18,K18,D18,L18)</f>
        <v>/FARSRaw Data/NationalCSVRaw Data//NationalCSVRaw Data//.CSVaccidentRaw Data/2023/FARS2023NationalCSV/FARS2023NationalCSV/ACCIDENT.CSV</v>
      </c>
      <c r="P18" t="str">
        <f>IF(E18&lt;=2014,L18,M18)</f>
        <v>Raw Data/2023/FARS2023NationalCSV/FARS2023NationalCSV/accident.CSV</v>
      </c>
      <c r="Q18" t="str">
        <f>CONCATENATE(LOWER(A18),E18," &lt;- ","read.csv(",CHAR(34),P18,CHAR(34),")")</f>
        <v>accident2023 &lt;- read.csv("Raw Data/2023/FARS2023NationalCSV/FARS2023NationalCSV/accident.CSV")</v>
      </c>
      <c r="R18" t="str">
        <f>CONCATENATE(LOWER(A18),E18)</f>
        <v>accident2023</v>
      </c>
    </row>
    <row r="19" spans="1:18" x14ac:dyDescent="0.25">
      <c r="A19" t="s">
        <v>25</v>
      </c>
      <c r="B19" t="str">
        <f t="shared" si="0"/>
        <v>person</v>
      </c>
      <c r="C19" t="str">
        <f>PROPER(A19)</f>
        <v>Person</v>
      </c>
      <c r="D19" t="str">
        <f>PROPER(A19)</f>
        <v>Person</v>
      </c>
      <c r="E19" s="1">
        <v>2007</v>
      </c>
      <c r="F19" s="1" t="str">
        <f t="shared" si="2"/>
        <v>PERSON</v>
      </c>
      <c r="G19" t="s">
        <v>7</v>
      </c>
      <c r="H19" t="s">
        <v>11</v>
      </c>
      <c r="I19" t="s">
        <v>23</v>
      </c>
      <c r="J19" t="s">
        <v>28</v>
      </c>
      <c r="K19" t="s">
        <v>29</v>
      </c>
      <c r="L19" t="str">
        <f>CONCATENATE(G19,E19,H19,E19,I19,H19,E19,I19,J19,A19,K19)</f>
        <v>Raw Data/2007/FARS2007NationalCSV/FARS2007NationalCSV/PERSON.CSV</v>
      </c>
      <c r="M19" t="str">
        <f>CONCATENATE(G19,E19,H19,E19,I19,H19,E19,I19,J19,B19,K19)</f>
        <v>Raw Data/2007/FARS2007NationalCSV/FARS2007NationalCSV/person.CSV</v>
      </c>
      <c r="N19" t="str">
        <f>CONCATENATE(G20,E20,H20,E20,I20,H20,E20,I20,J20,C20,K20)</f>
        <v>Raw Data/2008/FARS2008NationalCSV/FARS2008NationalCSV/Person.CSV</v>
      </c>
      <c r="O19" t="str">
        <f>CONCATENATE(H19,G19,I19,G19,J19,I19,G19,J19,K19,D19,L19)</f>
        <v>/FARSRaw Data/NationalCSVRaw Data//NationalCSVRaw Data//.CSVPersonRaw Data/2007/FARS2007NationalCSV/FARS2007NationalCSV/PERSON.CSV</v>
      </c>
      <c r="P19" t="str">
        <f>IF(E19&lt;=2014,L19,M19)</f>
        <v>Raw Data/2007/FARS2007NationalCSV/FARS2007NationalCSV/PERSON.CSV</v>
      </c>
      <c r="Q19" t="str">
        <f>CONCATENATE(LOWER(A19),E19," &lt;- ","read.csv(",CHAR(34),P19,CHAR(34),")")</f>
        <v>person2007 &lt;- read.csv("Raw Data/2007/FARS2007NationalCSV/FARS2007NationalCSV/PERSON.CSV")</v>
      </c>
      <c r="R19" t="str">
        <f>CONCATENATE(LOWER(A19),E19)</f>
        <v>person2007</v>
      </c>
    </row>
    <row r="20" spans="1:18" x14ac:dyDescent="0.25">
      <c r="A20" t="s">
        <v>25</v>
      </c>
      <c r="B20" t="str">
        <f t="shared" si="0"/>
        <v>person</v>
      </c>
      <c r="C20" t="str">
        <f t="shared" ref="C20:C52" si="3">PROPER(A20)</f>
        <v>Person</v>
      </c>
      <c r="D20" t="str">
        <f t="shared" ref="D20:D35" si="4">PROPER(A20)</f>
        <v>Person</v>
      </c>
      <c r="E20">
        <v>2008</v>
      </c>
      <c r="F20" s="1" t="str">
        <f t="shared" si="2"/>
        <v>PERSON</v>
      </c>
      <c r="G20" t="s">
        <v>7</v>
      </c>
      <c r="H20" t="s">
        <v>11</v>
      </c>
      <c r="I20" t="s">
        <v>23</v>
      </c>
      <c r="J20" t="s">
        <v>28</v>
      </c>
      <c r="K20" t="s">
        <v>29</v>
      </c>
      <c r="L20" t="str">
        <f>CONCATENATE(G20,E20,H20,E20,I20,H20,E20,I20,J20,A20,K20)</f>
        <v>Raw Data/2008/FARS2008NationalCSV/FARS2008NationalCSV/PERSON.CSV</v>
      </c>
      <c r="M20" t="str">
        <f>CONCATENATE(G20,E20,H20,E20,I20,H20,E20,I20,J20,B20,K20)</f>
        <v>Raw Data/2008/FARS2008NationalCSV/FARS2008NationalCSV/person.CSV</v>
      </c>
      <c r="N20" t="str">
        <f>CONCATENATE(G21,E21,H21,E21,I21,H21,E21,I21,J21,C21,K21)</f>
        <v>Raw Data/2009/FARS2009NationalCSV/FARS2009NationalCSV/Person.CSV</v>
      </c>
      <c r="O20" t="str">
        <f>CONCATENATE(H20,G20,I20,G20,J20,I20,G20,J20,K20,D20,L20)</f>
        <v>/FARSRaw Data/NationalCSVRaw Data//NationalCSVRaw Data//.CSVPersonRaw Data/2008/FARS2008NationalCSV/FARS2008NationalCSV/PERSON.CSV</v>
      </c>
      <c r="P20" t="str">
        <f>IF(E20&lt;=2014,L20,M20)</f>
        <v>Raw Data/2008/FARS2008NationalCSV/FARS2008NationalCSV/PERSON.CSV</v>
      </c>
      <c r="Q20" t="str">
        <f>CONCATENATE(LOWER(A20),E20," &lt;- ","read.csv(",CHAR(34),P20,CHAR(34),")")</f>
        <v>person2008 &lt;- read.csv("Raw Data/2008/FARS2008NationalCSV/FARS2008NationalCSV/PERSON.CSV")</v>
      </c>
      <c r="R20" t="str">
        <f>CONCATENATE(LOWER(A20),E20)</f>
        <v>person2008</v>
      </c>
    </row>
    <row r="21" spans="1:18" x14ac:dyDescent="0.25">
      <c r="A21" t="s">
        <v>25</v>
      </c>
      <c r="B21" t="str">
        <f t="shared" si="0"/>
        <v>person</v>
      </c>
      <c r="C21" t="str">
        <f t="shared" si="3"/>
        <v>Person</v>
      </c>
      <c r="D21" t="str">
        <f t="shared" si="4"/>
        <v>Person</v>
      </c>
      <c r="E21" s="1">
        <v>2009</v>
      </c>
      <c r="F21" s="1" t="str">
        <f t="shared" si="2"/>
        <v>PERSON</v>
      </c>
      <c r="G21" t="s">
        <v>7</v>
      </c>
      <c r="H21" t="s">
        <v>11</v>
      </c>
      <c r="I21" t="s">
        <v>23</v>
      </c>
      <c r="J21" t="s">
        <v>28</v>
      </c>
      <c r="K21" t="s">
        <v>29</v>
      </c>
      <c r="L21" t="str">
        <f>CONCATENATE(G21,E21,H21,E21,I21,H21,E21,I21,J21,A21,K21)</f>
        <v>Raw Data/2009/FARS2009NationalCSV/FARS2009NationalCSV/PERSON.CSV</v>
      </c>
      <c r="M21" t="str">
        <f>CONCATENATE(G21,E21,H21,E21,I21,H21,E21,I21,J21,B21,K21)</f>
        <v>Raw Data/2009/FARS2009NationalCSV/FARS2009NationalCSV/person.CSV</v>
      </c>
      <c r="N21" t="str">
        <f>CONCATENATE(G22,E22,H22,E22,I22,H22,E22,I22,J22,C22,K22)</f>
        <v>Raw Data/2010/FARS2010NationalCSV/FARS2010NationalCSV/Person.CSV</v>
      </c>
      <c r="O21" t="str">
        <f>CONCATENATE(H21,G21,I21,G21,J21,I21,G21,J21,K21,D21,L21)</f>
        <v>/FARSRaw Data/NationalCSVRaw Data//NationalCSVRaw Data//.CSVPersonRaw Data/2009/FARS2009NationalCSV/FARS2009NationalCSV/PERSON.CSV</v>
      </c>
      <c r="P21" t="str">
        <f>IF(E21&lt;=2014,L21,M21)</f>
        <v>Raw Data/2009/FARS2009NationalCSV/FARS2009NationalCSV/PERSON.CSV</v>
      </c>
      <c r="Q21" t="str">
        <f>CONCATENATE(LOWER(A21),E21," &lt;- ","read.csv(",CHAR(34),P21,CHAR(34),")")</f>
        <v>person2009 &lt;- read.csv("Raw Data/2009/FARS2009NationalCSV/FARS2009NationalCSV/PERSON.CSV")</v>
      </c>
      <c r="R21" t="str">
        <f>CONCATENATE(LOWER(A21),E21)</f>
        <v>person2009</v>
      </c>
    </row>
    <row r="22" spans="1:18" x14ac:dyDescent="0.25">
      <c r="A22" t="s">
        <v>25</v>
      </c>
      <c r="B22" t="str">
        <f t="shared" si="0"/>
        <v>person</v>
      </c>
      <c r="C22" t="str">
        <f t="shared" si="3"/>
        <v>Person</v>
      </c>
      <c r="D22" t="str">
        <f t="shared" si="4"/>
        <v>Person</v>
      </c>
      <c r="E22">
        <v>2010</v>
      </c>
      <c r="F22" s="1" t="str">
        <f t="shared" si="2"/>
        <v>PERSON</v>
      </c>
      <c r="G22" t="s">
        <v>7</v>
      </c>
      <c r="H22" t="s">
        <v>11</v>
      </c>
      <c r="I22" t="s">
        <v>23</v>
      </c>
      <c r="J22" t="s">
        <v>28</v>
      </c>
      <c r="K22" t="s">
        <v>29</v>
      </c>
      <c r="L22" t="str">
        <f>CONCATENATE(G22,E22,H22,E22,I22,H22,E22,I22,J22,A22,K22)</f>
        <v>Raw Data/2010/FARS2010NationalCSV/FARS2010NationalCSV/PERSON.CSV</v>
      </c>
      <c r="M22" t="str">
        <f>CONCATENATE(G22,E22,H22,E22,I22,H22,E22,I22,J22,B22,K22)</f>
        <v>Raw Data/2010/FARS2010NationalCSV/FARS2010NationalCSV/person.CSV</v>
      </c>
      <c r="N22" t="str">
        <f>CONCATENATE(G23,E23,H23,E23,I23,H23,E23,I23,J23,C23,K23)</f>
        <v>Raw Data/2011/FARS2011NationalCSV/FARS2011NationalCSV/Person.CSV</v>
      </c>
      <c r="O22" t="str">
        <f>CONCATENATE(H22,G22,I22,G22,J22,I22,G22,J22,K22,D22,L22)</f>
        <v>/FARSRaw Data/NationalCSVRaw Data//NationalCSVRaw Data//.CSVPersonRaw Data/2010/FARS2010NationalCSV/FARS2010NationalCSV/PERSON.CSV</v>
      </c>
      <c r="P22" t="str">
        <f>IF(E22&lt;=2014,L22,M22)</f>
        <v>Raw Data/2010/FARS2010NationalCSV/FARS2010NationalCSV/PERSON.CSV</v>
      </c>
      <c r="Q22" t="str">
        <f>CONCATENATE(LOWER(A22),E22," &lt;- ","read.csv(",CHAR(34),P22,CHAR(34),")")</f>
        <v>person2010 &lt;- read.csv("Raw Data/2010/FARS2010NationalCSV/FARS2010NationalCSV/PERSON.CSV")</v>
      </c>
      <c r="R22" t="str">
        <f>CONCATENATE(LOWER(A22),E22)</f>
        <v>person2010</v>
      </c>
    </row>
    <row r="23" spans="1:18" x14ac:dyDescent="0.25">
      <c r="A23" t="s">
        <v>25</v>
      </c>
      <c r="B23" t="str">
        <f t="shared" si="0"/>
        <v>person</v>
      </c>
      <c r="C23" t="str">
        <f t="shared" si="3"/>
        <v>Person</v>
      </c>
      <c r="D23" t="str">
        <f t="shared" si="4"/>
        <v>Person</v>
      </c>
      <c r="E23" s="1">
        <v>2011</v>
      </c>
      <c r="F23" s="1" t="str">
        <f t="shared" si="2"/>
        <v>PERSON</v>
      </c>
      <c r="G23" t="s">
        <v>7</v>
      </c>
      <c r="H23" t="s">
        <v>11</v>
      </c>
      <c r="I23" t="s">
        <v>23</v>
      </c>
      <c r="J23" t="s">
        <v>28</v>
      </c>
      <c r="K23" t="s">
        <v>29</v>
      </c>
      <c r="L23" t="str">
        <f>CONCATENATE(G23,E23,H23,E23,I23,H23,E23,I23,J23,A23,K23)</f>
        <v>Raw Data/2011/FARS2011NationalCSV/FARS2011NationalCSV/PERSON.CSV</v>
      </c>
      <c r="M23" t="str">
        <f>CONCATENATE(G23,E23,H23,E23,I23,H23,E23,I23,J23,B23,K23)</f>
        <v>Raw Data/2011/FARS2011NationalCSV/FARS2011NationalCSV/person.CSV</v>
      </c>
      <c r="N23" t="str">
        <f>CONCATENATE(G24,E24,H24,E24,I24,H24,E24,I24,J24,C24,K24)</f>
        <v>Raw Data/2012/FARS2012NationalCSV/FARS2012NationalCSV/Person.CSV</v>
      </c>
      <c r="O23" t="str">
        <f>CONCATENATE(H23,G23,I23,G23,J23,I23,G23,J23,K23,D23,L23)</f>
        <v>/FARSRaw Data/NationalCSVRaw Data//NationalCSVRaw Data//.CSVPersonRaw Data/2011/FARS2011NationalCSV/FARS2011NationalCSV/PERSON.CSV</v>
      </c>
      <c r="P23" t="str">
        <f>IF(E23&lt;=2014,L23,M23)</f>
        <v>Raw Data/2011/FARS2011NationalCSV/FARS2011NationalCSV/PERSON.CSV</v>
      </c>
      <c r="Q23" t="str">
        <f>CONCATENATE(LOWER(A23),E23," &lt;- ","read.csv(",CHAR(34),P23,CHAR(34),")")</f>
        <v>person2011 &lt;- read.csv("Raw Data/2011/FARS2011NationalCSV/FARS2011NationalCSV/PERSON.CSV")</v>
      </c>
      <c r="R23" t="str">
        <f>CONCATENATE(LOWER(A23),E23)</f>
        <v>person2011</v>
      </c>
    </row>
    <row r="24" spans="1:18" x14ac:dyDescent="0.25">
      <c r="A24" t="s">
        <v>25</v>
      </c>
      <c r="B24" t="str">
        <f t="shared" si="0"/>
        <v>person</v>
      </c>
      <c r="C24" t="str">
        <f t="shared" si="3"/>
        <v>Person</v>
      </c>
      <c r="D24" t="str">
        <f t="shared" si="4"/>
        <v>Person</v>
      </c>
      <c r="E24">
        <v>2012</v>
      </c>
      <c r="F24" s="1" t="str">
        <f t="shared" si="2"/>
        <v>PERSON</v>
      </c>
      <c r="G24" t="s">
        <v>7</v>
      </c>
      <c r="H24" t="s">
        <v>11</v>
      </c>
      <c r="I24" t="s">
        <v>23</v>
      </c>
      <c r="J24" t="s">
        <v>28</v>
      </c>
      <c r="K24" t="s">
        <v>29</v>
      </c>
      <c r="L24" t="str">
        <f>CONCATENATE(G24,E24,H24,E24,I24,H24,E24,I24,J24,A24,K24)</f>
        <v>Raw Data/2012/FARS2012NationalCSV/FARS2012NationalCSV/PERSON.CSV</v>
      </c>
      <c r="M24" t="str">
        <f>CONCATENATE(G24,E24,H24,E24,I24,H24,E24,I24,J24,B24,K24)</f>
        <v>Raw Data/2012/FARS2012NationalCSV/FARS2012NationalCSV/person.CSV</v>
      </c>
      <c r="N24" t="str">
        <f>CONCATENATE(G25,E25,H25,E25,I25,H25,E25,I25,J25,C25,K25)</f>
        <v>Raw Data/2013/FARS2013NationalCSV/FARS2013NationalCSV/Person.CSV</v>
      </c>
      <c r="O24" t="str">
        <f>CONCATENATE(H24,G24,I24,G24,J24,I24,G24,J24,K24,D24,L24)</f>
        <v>/FARSRaw Data/NationalCSVRaw Data//NationalCSVRaw Data//.CSVPersonRaw Data/2012/FARS2012NationalCSV/FARS2012NationalCSV/PERSON.CSV</v>
      </c>
      <c r="P24" t="str">
        <f>IF(E24&lt;=2014,L24,M24)</f>
        <v>Raw Data/2012/FARS2012NationalCSV/FARS2012NationalCSV/PERSON.CSV</v>
      </c>
      <c r="Q24" t="str">
        <f>CONCATENATE(LOWER(A24),E24," &lt;- ","read.csv(",CHAR(34),P24,CHAR(34),")")</f>
        <v>person2012 &lt;- read.csv("Raw Data/2012/FARS2012NationalCSV/FARS2012NationalCSV/PERSON.CSV")</v>
      </c>
      <c r="R24" t="str">
        <f>CONCATENATE(LOWER(A24),E24)</f>
        <v>person2012</v>
      </c>
    </row>
    <row r="25" spans="1:18" x14ac:dyDescent="0.25">
      <c r="A25" t="s">
        <v>25</v>
      </c>
      <c r="B25" t="str">
        <f t="shared" si="0"/>
        <v>person</v>
      </c>
      <c r="C25" t="str">
        <f t="shared" si="3"/>
        <v>Person</v>
      </c>
      <c r="D25" t="str">
        <f t="shared" si="4"/>
        <v>Person</v>
      </c>
      <c r="E25" s="1">
        <v>2013</v>
      </c>
      <c r="F25" s="1" t="str">
        <f t="shared" si="2"/>
        <v>PERSON</v>
      </c>
      <c r="G25" t="s">
        <v>7</v>
      </c>
      <c r="H25" t="s">
        <v>11</v>
      </c>
      <c r="I25" t="s">
        <v>23</v>
      </c>
      <c r="J25" t="s">
        <v>28</v>
      </c>
      <c r="K25" t="s">
        <v>29</v>
      </c>
      <c r="L25" t="str">
        <f>CONCATENATE(G25,E25,H25,E25,I25,H25,E25,I25,J25,A25,K25)</f>
        <v>Raw Data/2013/FARS2013NationalCSV/FARS2013NationalCSV/PERSON.CSV</v>
      </c>
      <c r="M25" t="str">
        <f>CONCATENATE(G25,E25,H25,E25,I25,H25,E25,I25,J25,B25,K25)</f>
        <v>Raw Data/2013/FARS2013NationalCSV/FARS2013NationalCSV/person.CSV</v>
      </c>
      <c r="N25" t="str">
        <f>CONCATENATE(G26,E26,H26,E26,I26,H26,E26,I26,J26,C26,K26)</f>
        <v>Raw Data/2014/FARS2014NationalCSV/FARS2014NationalCSV/Person.CSV</v>
      </c>
      <c r="O25" t="str">
        <f>CONCATENATE(H25,G25,I25,G25,J25,I25,G25,J25,K25,D25,L25)</f>
        <v>/FARSRaw Data/NationalCSVRaw Data//NationalCSVRaw Data//.CSVPersonRaw Data/2013/FARS2013NationalCSV/FARS2013NationalCSV/PERSON.CSV</v>
      </c>
      <c r="P25" t="str">
        <f>IF(E25&lt;=2014,L25,M25)</f>
        <v>Raw Data/2013/FARS2013NationalCSV/FARS2013NationalCSV/PERSON.CSV</v>
      </c>
      <c r="Q25" t="str">
        <f>CONCATENATE(LOWER(A25),E25," &lt;- ","read.csv(",CHAR(34),P25,CHAR(34),")")</f>
        <v>person2013 &lt;- read.csv("Raw Data/2013/FARS2013NationalCSV/FARS2013NationalCSV/PERSON.CSV")</v>
      </c>
      <c r="R25" t="str">
        <f>CONCATENATE(LOWER(A25),E25)</f>
        <v>person2013</v>
      </c>
    </row>
    <row r="26" spans="1:18" x14ac:dyDescent="0.25">
      <c r="A26" t="s">
        <v>25</v>
      </c>
      <c r="B26" t="str">
        <f t="shared" si="0"/>
        <v>person</v>
      </c>
      <c r="C26" t="str">
        <f t="shared" si="3"/>
        <v>Person</v>
      </c>
      <c r="D26" t="str">
        <f t="shared" si="4"/>
        <v>Person</v>
      </c>
      <c r="E26">
        <v>2014</v>
      </c>
      <c r="F26" s="1" t="str">
        <f t="shared" si="2"/>
        <v>PERSON</v>
      </c>
      <c r="G26" t="s">
        <v>7</v>
      </c>
      <c r="H26" t="s">
        <v>11</v>
      </c>
      <c r="I26" t="s">
        <v>23</v>
      </c>
      <c r="J26" t="s">
        <v>28</v>
      </c>
      <c r="K26" t="s">
        <v>29</v>
      </c>
      <c r="L26" t="str">
        <f>CONCATENATE(G26,E26,H26,E26,I26,H26,E26,I26,J26,A26,K26)</f>
        <v>Raw Data/2014/FARS2014NationalCSV/FARS2014NationalCSV/PERSON.CSV</v>
      </c>
      <c r="M26" t="str">
        <f>CONCATENATE(G26,E26,H26,E26,I26,H26,E26,I26,J26,B26,K26)</f>
        <v>Raw Data/2014/FARS2014NationalCSV/FARS2014NationalCSV/person.CSV</v>
      </c>
      <c r="N26" t="str">
        <f>CONCATENATE(G27,E27,H27,E27,I27,H27,E27,I27,J27,C27,K27)</f>
        <v>Raw Data/2015/FARS2015NationalCSV/FARS2015NationalCSV/Person.CSV</v>
      </c>
      <c r="O26" t="str">
        <f>CONCATENATE(H26,G26,I26,G26,J26,I26,G26,J26,K26,D26,L26)</f>
        <v>/FARSRaw Data/NationalCSVRaw Data//NationalCSVRaw Data//.CSVPersonRaw Data/2014/FARS2014NationalCSV/FARS2014NationalCSV/PERSON.CSV</v>
      </c>
      <c r="P26" t="str">
        <f>IF(E26&lt;=2014,L26,M26)</f>
        <v>Raw Data/2014/FARS2014NationalCSV/FARS2014NationalCSV/PERSON.CSV</v>
      </c>
      <c r="Q26" t="str">
        <f>CONCATENATE(LOWER(A26),E26," &lt;- ","read.csv(",CHAR(34),P26,CHAR(34),")")</f>
        <v>person2014 &lt;- read.csv("Raw Data/2014/FARS2014NationalCSV/FARS2014NationalCSV/PERSON.CSV")</v>
      </c>
      <c r="R26" t="str">
        <f>CONCATENATE(LOWER(A26),E26)</f>
        <v>person2014</v>
      </c>
    </row>
    <row r="27" spans="1:18" x14ac:dyDescent="0.25">
      <c r="A27" t="s">
        <v>25</v>
      </c>
      <c r="B27" t="str">
        <f t="shared" si="0"/>
        <v>person</v>
      </c>
      <c r="C27" t="str">
        <f t="shared" si="3"/>
        <v>Person</v>
      </c>
      <c r="D27" t="str">
        <f t="shared" si="4"/>
        <v>Person</v>
      </c>
      <c r="E27" s="1">
        <v>2015</v>
      </c>
      <c r="F27" s="1" t="str">
        <f t="shared" si="2"/>
        <v>person</v>
      </c>
      <c r="G27" t="s">
        <v>7</v>
      </c>
      <c r="H27" t="s">
        <v>11</v>
      </c>
      <c r="I27" t="s">
        <v>23</v>
      </c>
      <c r="J27" t="s">
        <v>28</v>
      </c>
      <c r="K27" t="s">
        <v>29</v>
      </c>
      <c r="L27" t="str">
        <f>CONCATENATE(G27,E27,H27,E27,I27,H27,E27,I27,J27,A27,K27)</f>
        <v>Raw Data/2015/FARS2015NationalCSV/FARS2015NationalCSV/PERSON.CSV</v>
      </c>
      <c r="M27" t="str">
        <f>CONCATENATE(G27,E27,H27,E27,I27,H27,E27,I27,J27,B27,K27)</f>
        <v>Raw Data/2015/FARS2015NationalCSV/FARS2015NationalCSV/person.CSV</v>
      </c>
      <c r="N27" t="str">
        <f>CONCATENATE(G28,E28,H28,E28,I28,H28,E28,I28,J28,C28,K28)</f>
        <v>Raw Data/2016/FARS2016NationalCSV/FARS2016NationalCSV/Person.CSV</v>
      </c>
      <c r="O27" t="str">
        <f>CONCATENATE(H27,G27,I27,G27,J27,I27,G27,J27,K27,D27,L27)</f>
        <v>/FARSRaw Data/NationalCSVRaw Data//NationalCSVRaw Data//.CSVPersonRaw Data/2015/FARS2015NationalCSV/FARS2015NationalCSV/PERSON.CSV</v>
      </c>
      <c r="P27" t="str">
        <f>IF(E27&lt;=2014,L27,M27)</f>
        <v>Raw Data/2015/FARS2015NationalCSV/FARS2015NationalCSV/person.CSV</v>
      </c>
      <c r="Q27" t="str">
        <f>CONCATENATE(LOWER(A27),E27," &lt;- ","read.csv(",CHAR(34),P27,CHAR(34),")")</f>
        <v>person2015 &lt;- read.csv("Raw Data/2015/FARS2015NationalCSV/FARS2015NationalCSV/person.CSV")</v>
      </c>
      <c r="R27" t="str">
        <f>CONCATENATE(LOWER(A27),E27)</f>
        <v>person2015</v>
      </c>
    </row>
    <row r="28" spans="1:18" x14ac:dyDescent="0.25">
      <c r="A28" t="s">
        <v>25</v>
      </c>
      <c r="B28" t="str">
        <f t="shared" si="0"/>
        <v>person</v>
      </c>
      <c r="C28" t="str">
        <f t="shared" si="3"/>
        <v>Person</v>
      </c>
      <c r="D28" t="str">
        <f t="shared" si="4"/>
        <v>Person</v>
      </c>
      <c r="E28">
        <v>2016</v>
      </c>
      <c r="F28" s="1" t="str">
        <f t="shared" si="2"/>
        <v>Person</v>
      </c>
      <c r="G28" t="s">
        <v>7</v>
      </c>
      <c r="H28" t="s">
        <v>11</v>
      </c>
      <c r="I28" t="s">
        <v>23</v>
      </c>
      <c r="J28" t="s">
        <v>28</v>
      </c>
      <c r="K28" t="s">
        <v>29</v>
      </c>
      <c r="L28" t="str">
        <f>CONCATENATE(G28,E28,H28,E28,I28,H28,E28,I28,J28,A28,K28)</f>
        <v>Raw Data/2016/FARS2016NationalCSV/FARS2016NationalCSV/PERSON.CSV</v>
      </c>
      <c r="M28" t="str">
        <f>CONCATENATE(G28,E28,H28,E28,I28,H28,E28,I28,J28,B28,K28)</f>
        <v>Raw Data/2016/FARS2016NationalCSV/FARS2016NationalCSV/person.CSV</v>
      </c>
      <c r="N28" t="str">
        <f>CONCATENATE(G29,E29,H29,E29,I29,H29,E29,I29,J29,C29,K29)</f>
        <v>Raw Data/2017/FARS2017NationalCSV/FARS2017NationalCSV/Person.CSV</v>
      </c>
      <c r="O28" t="str">
        <f>CONCATENATE(H28,G28,I28,G28,J28,I28,G28,J28,K28,D28,L28)</f>
        <v>/FARSRaw Data/NationalCSVRaw Data//NationalCSVRaw Data//.CSVPersonRaw Data/2016/FARS2016NationalCSV/FARS2016NationalCSV/PERSON.CSV</v>
      </c>
      <c r="P28" t="str">
        <f>IF(E28&lt;=2014,L28,M28)</f>
        <v>Raw Data/2016/FARS2016NationalCSV/FARS2016NationalCSV/person.CSV</v>
      </c>
      <c r="Q28" t="str">
        <f>CONCATENATE(LOWER(A28),E28," &lt;- ","read.csv(",CHAR(34),P28,CHAR(34),")")</f>
        <v>person2016 &lt;- read.csv("Raw Data/2016/FARS2016NationalCSV/FARS2016NationalCSV/person.CSV")</v>
      </c>
      <c r="R28" t="str">
        <f>CONCATENATE(LOWER(A28),E28)</f>
        <v>person2016</v>
      </c>
    </row>
    <row r="29" spans="1:18" x14ac:dyDescent="0.25">
      <c r="A29" t="s">
        <v>25</v>
      </c>
      <c r="B29" t="str">
        <f t="shared" si="0"/>
        <v>person</v>
      </c>
      <c r="C29" t="str">
        <f t="shared" si="3"/>
        <v>Person</v>
      </c>
      <c r="D29" t="str">
        <f t="shared" si="4"/>
        <v>Person</v>
      </c>
      <c r="E29" s="1">
        <v>2017</v>
      </c>
      <c r="F29" s="1" t="str">
        <f t="shared" si="2"/>
        <v>Person</v>
      </c>
      <c r="G29" t="s">
        <v>7</v>
      </c>
      <c r="H29" t="s">
        <v>11</v>
      </c>
      <c r="I29" t="s">
        <v>23</v>
      </c>
      <c r="J29" t="s">
        <v>28</v>
      </c>
      <c r="K29" t="s">
        <v>29</v>
      </c>
      <c r="L29" t="str">
        <f>CONCATENATE(G29,E29,H29,E29,I29,H29,E29,I29,J29,A29,K29)</f>
        <v>Raw Data/2017/FARS2017NationalCSV/FARS2017NationalCSV/PERSON.CSV</v>
      </c>
      <c r="M29" t="str">
        <f>CONCATENATE(G29,E29,H29,E29,I29,H29,E29,I29,J29,B29,K29)</f>
        <v>Raw Data/2017/FARS2017NationalCSV/FARS2017NationalCSV/person.CSV</v>
      </c>
      <c r="N29" t="str">
        <f>CONCATENATE(G30,E30,H30,E30,I30,H30,E30,I30,J30,C30,K30)</f>
        <v>Raw Data/2018/FARS2018NationalCSV/FARS2018NationalCSV/Person.CSV</v>
      </c>
      <c r="O29" t="str">
        <f>CONCATENATE(H29,G29,I29,G29,J29,I29,G29,J29,K29,D29,L29)</f>
        <v>/FARSRaw Data/NationalCSVRaw Data//NationalCSVRaw Data//.CSVPersonRaw Data/2017/FARS2017NationalCSV/FARS2017NationalCSV/PERSON.CSV</v>
      </c>
      <c r="P29" t="str">
        <f>IF(E29&lt;=2014,L29,M29)</f>
        <v>Raw Data/2017/FARS2017NationalCSV/FARS2017NationalCSV/person.CSV</v>
      </c>
      <c r="Q29" t="str">
        <f>CONCATENATE(LOWER(A29),E29," &lt;- ","read.csv(",CHAR(34),P29,CHAR(34),")")</f>
        <v>person2017 &lt;- read.csv("Raw Data/2017/FARS2017NationalCSV/FARS2017NationalCSV/person.CSV")</v>
      </c>
      <c r="R29" t="str">
        <f>CONCATENATE(LOWER(A29),E29)</f>
        <v>person2017</v>
      </c>
    </row>
    <row r="30" spans="1:18" x14ac:dyDescent="0.25">
      <c r="A30" t="s">
        <v>25</v>
      </c>
      <c r="B30" t="str">
        <f t="shared" si="0"/>
        <v>person</v>
      </c>
      <c r="C30" t="str">
        <f t="shared" si="3"/>
        <v>Person</v>
      </c>
      <c r="D30" t="str">
        <f t="shared" si="4"/>
        <v>Person</v>
      </c>
      <c r="E30">
        <v>2018</v>
      </c>
      <c r="F30" s="1" t="str">
        <f t="shared" si="2"/>
        <v>person</v>
      </c>
      <c r="G30" t="s">
        <v>7</v>
      </c>
      <c r="H30" t="s">
        <v>11</v>
      </c>
      <c r="I30" t="s">
        <v>23</v>
      </c>
      <c r="J30" t="s">
        <v>28</v>
      </c>
      <c r="K30" t="s">
        <v>29</v>
      </c>
      <c r="L30" t="str">
        <f>CONCATENATE(G30,E30,H30,E30,I30,H30,E30,I30,J30,A30,K30)</f>
        <v>Raw Data/2018/FARS2018NationalCSV/FARS2018NationalCSV/PERSON.CSV</v>
      </c>
      <c r="M30" t="str">
        <f>CONCATENATE(G30,E30,H30,E30,I30,H30,E30,I30,J30,B30,K30)</f>
        <v>Raw Data/2018/FARS2018NationalCSV/FARS2018NationalCSV/person.CSV</v>
      </c>
      <c r="N30" t="str">
        <f>CONCATENATE(G31,E31,H31,E31,I31,H31,E31,I31,J31,C31,K31)</f>
        <v>Raw Data/2019/FARS2019NationalCSV/FARS2019NationalCSV/Person.CSV</v>
      </c>
      <c r="O30" t="str">
        <f>CONCATENATE(H30,G30,I30,G30,J30,I30,G30,J30,K30,D30,L30)</f>
        <v>/FARSRaw Data/NationalCSVRaw Data//NationalCSVRaw Data//.CSVPersonRaw Data/2018/FARS2018NationalCSV/FARS2018NationalCSV/PERSON.CSV</v>
      </c>
      <c r="P30" t="str">
        <f>IF(E30&lt;=2014,L30,M30)</f>
        <v>Raw Data/2018/FARS2018NationalCSV/FARS2018NationalCSV/person.CSV</v>
      </c>
      <c r="Q30" t="str">
        <f>CONCATENATE(LOWER(A30),E30," &lt;- ","read.csv(",CHAR(34),P30,CHAR(34),")")</f>
        <v>person2018 &lt;- read.csv("Raw Data/2018/FARS2018NationalCSV/FARS2018NationalCSV/person.CSV")</v>
      </c>
      <c r="R30" t="str">
        <f>CONCATENATE(LOWER(A30),E30)</f>
        <v>person2018</v>
      </c>
    </row>
    <row r="31" spans="1:18" x14ac:dyDescent="0.25">
      <c r="A31" t="s">
        <v>25</v>
      </c>
      <c r="B31" t="str">
        <f t="shared" si="0"/>
        <v>person</v>
      </c>
      <c r="C31" t="str">
        <f t="shared" si="3"/>
        <v>Person</v>
      </c>
      <c r="D31" t="str">
        <f t="shared" si="4"/>
        <v>Person</v>
      </c>
      <c r="E31" s="1">
        <v>2019</v>
      </c>
      <c r="F31" s="1" t="str">
        <f t="shared" si="2"/>
        <v>Person</v>
      </c>
      <c r="G31" t="s">
        <v>7</v>
      </c>
      <c r="H31" t="s">
        <v>11</v>
      </c>
      <c r="I31" t="s">
        <v>23</v>
      </c>
      <c r="J31" t="s">
        <v>28</v>
      </c>
      <c r="K31" t="s">
        <v>29</v>
      </c>
      <c r="L31" t="str">
        <f>CONCATENATE(G31,E31,H31,E31,I31,H31,E31,I31,J31,A31,K31)</f>
        <v>Raw Data/2019/FARS2019NationalCSV/FARS2019NationalCSV/PERSON.CSV</v>
      </c>
      <c r="M31" t="str">
        <f>CONCATENATE(G31,E31,H31,E31,I31,H31,E31,I31,J31,B31,K31)</f>
        <v>Raw Data/2019/FARS2019NationalCSV/FARS2019NationalCSV/person.CSV</v>
      </c>
      <c r="N31" t="str">
        <f>CONCATENATE(G32,E32,H32,E32,I32,H32,E32,I32,J32,C32,K32)</f>
        <v>Raw Data/2020/FARS2020NationalCSV/FARS2020NationalCSV/Person.CSV</v>
      </c>
      <c r="O31" t="str">
        <f>CONCATENATE(H31,G31,I31,G31,J31,I31,G31,J31,K31,D31,L31)</f>
        <v>/FARSRaw Data/NationalCSVRaw Data//NationalCSVRaw Data//.CSVPersonRaw Data/2019/FARS2019NationalCSV/FARS2019NationalCSV/PERSON.CSV</v>
      </c>
      <c r="P31" t="str">
        <f>IF(E31&lt;=2014,L31,M31)</f>
        <v>Raw Data/2019/FARS2019NationalCSV/FARS2019NationalCSV/person.CSV</v>
      </c>
      <c r="Q31" t="str">
        <f>CONCATENATE(LOWER(A31),E31," &lt;- ","read.csv(",CHAR(34),P31,CHAR(34),")")</f>
        <v>person2019 &lt;- read.csv("Raw Data/2019/FARS2019NationalCSV/FARS2019NationalCSV/person.CSV")</v>
      </c>
      <c r="R31" t="str">
        <f>CONCATENATE(LOWER(A31),E31)</f>
        <v>person2019</v>
      </c>
    </row>
    <row r="32" spans="1:18" x14ac:dyDescent="0.25">
      <c r="A32" t="s">
        <v>25</v>
      </c>
      <c r="B32" t="str">
        <f t="shared" si="0"/>
        <v>person</v>
      </c>
      <c r="C32" t="str">
        <f t="shared" si="3"/>
        <v>Person</v>
      </c>
      <c r="D32" t="str">
        <f t="shared" si="4"/>
        <v>Person</v>
      </c>
      <c r="E32">
        <v>2020</v>
      </c>
      <c r="F32" s="1" t="str">
        <f t="shared" si="2"/>
        <v>person</v>
      </c>
      <c r="G32" t="s">
        <v>7</v>
      </c>
      <c r="H32" t="s">
        <v>11</v>
      </c>
      <c r="I32" t="s">
        <v>23</v>
      </c>
      <c r="J32" t="s">
        <v>28</v>
      </c>
      <c r="K32" t="s">
        <v>29</v>
      </c>
      <c r="L32" t="str">
        <f>CONCATENATE(G32,E32,H32,E32,I32,H32,E32,I32,J32,A32,K32)</f>
        <v>Raw Data/2020/FARS2020NationalCSV/FARS2020NationalCSV/PERSON.CSV</v>
      </c>
      <c r="M32" t="str">
        <f>CONCATENATE(G32,E32,H32,E32,I32,H32,E32,I32,J32,B32,K32)</f>
        <v>Raw Data/2020/FARS2020NationalCSV/FARS2020NationalCSV/person.CSV</v>
      </c>
      <c r="N32" t="str">
        <f>CONCATENATE(G33,E33,H33,E33,I33,H33,E33,I33,J33,C33,K33)</f>
        <v>Raw Data/2021/FARS2021NationalCSV/FARS2021NationalCSV/Person.CSV</v>
      </c>
      <c r="O32" t="str">
        <f>CONCATENATE(H32,G32,I32,G32,J32,I32,G32,J32,K32,D32,L32)</f>
        <v>/FARSRaw Data/NationalCSVRaw Data//NationalCSVRaw Data//.CSVPersonRaw Data/2020/FARS2020NationalCSV/FARS2020NationalCSV/PERSON.CSV</v>
      </c>
      <c r="P32" t="str">
        <f>IF(E32&lt;=2014,L32,M32)</f>
        <v>Raw Data/2020/FARS2020NationalCSV/FARS2020NationalCSV/person.CSV</v>
      </c>
      <c r="Q32" t="str">
        <f>CONCATENATE(LOWER(A32),E32," &lt;- ","read.csv(",CHAR(34),P32,CHAR(34),")")</f>
        <v>person2020 &lt;- read.csv("Raw Data/2020/FARS2020NationalCSV/FARS2020NationalCSV/person.CSV")</v>
      </c>
      <c r="R32" t="str">
        <f>CONCATENATE(LOWER(A32),E32)</f>
        <v>person2020</v>
      </c>
    </row>
    <row r="33" spans="1:18" x14ac:dyDescent="0.25">
      <c r="A33" t="s">
        <v>25</v>
      </c>
      <c r="B33" t="str">
        <f t="shared" si="0"/>
        <v>person</v>
      </c>
      <c r="C33" t="str">
        <f t="shared" si="3"/>
        <v>Person</v>
      </c>
      <c r="D33" t="str">
        <f t="shared" si="4"/>
        <v>Person</v>
      </c>
      <c r="E33" s="1">
        <v>2021</v>
      </c>
      <c r="F33" s="1" t="str">
        <f t="shared" si="2"/>
        <v>person</v>
      </c>
      <c r="G33" t="s">
        <v>7</v>
      </c>
      <c r="H33" t="s">
        <v>11</v>
      </c>
      <c r="I33" t="s">
        <v>23</v>
      </c>
      <c r="J33" t="s">
        <v>28</v>
      </c>
      <c r="K33" t="s">
        <v>29</v>
      </c>
      <c r="L33" t="str">
        <f>CONCATENATE(G33,E33,H33,E33,I33,H33,E33,I33,J33,A33,K33)</f>
        <v>Raw Data/2021/FARS2021NationalCSV/FARS2021NationalCSV/PERSON.CSV</v>
      </c>
      <c r="M33" t="str">
        <f>CONCATENATE(G33,E33,H33,E33,I33,H33,E33,I33,J33,B33,K33)</f>
        <v>Raw Data/2021/FARS2021NationalCSV/FARS2021NationalCSV/person.CSV</v>
      </c>
      <c r="N33" t="str">
        <f>CONCATENATE(G34,E34,H34,E34,I34,H34,E34,I34,J34,C34,K34)</f>
        <v>Raw Data/2022/FARS2022NationalCSV/FARS2022NationalCSV/Person.CSV</v>
      </c>
      <c r="O33" t="str">
        <f>CONCATENATE(H33,G33,I33,G33,J33,I33,G33,J33,K33,D33,L33)</f>
        <v>/FARSRaw Data/NationalCSVRaw Data//NationalCSVRaw Data//.CSVPersonRaw Data/2021/FARS2021NationalCSV/FARS2021NationalCSV/PERSON.CSV</v>
      </c>
      <c r="P33" t="str">
        <f>IF(E33&lt;=2014,L33,M33)</f>
        <v>Raw Data/2021/FARS2021NationalCSV/FARS2021NationalCSV/person.CSV</v>
      </c>
      <c r="Q33" t="str">
        <f>CONCATENATE(LOWER(A33),E33," &lt;- ","read.csv(",CHAR(34),P33,CHAR(34),")")</f>
        <v>person2021 &lt;- read.csv("Raw Data/2021/FARS2021NationalCSV/FARS2021NationalCSV/person.CSV")</v>
      </c>
      <c r="R33" t="str">
        <f>CONCATENATE(LOWER(A33),E33)</f>
        <v>person2021</v>
      </c>
    </row>
    <row r="34" spans="1:18" x14ac:dyDescent="0.25">
      <c r="A34" t="s">
        <v>25</v>
      </c>
      <c r="B34" t="str">
        <f t="shared" si="0"/>
        <v>person</v>
      </c>
      <c r="C34" t="str">
        <f t="shared" si="3"/>
        <v>Person</v>
      </c>
      <c r="D34" t="str">
        <f t="shared" si="4"/>
        <v>Person</v>
      </c>
      <c r="E34">
        <v>2022</v>
      </c>
      <c r="F34" s="1" t="str">
        <f t="shared" si="2"/>
        <v>person</v>
      </c>
      <c r="G34" t="s">
        <v>7</v>
      </c>
      <c r="H34" t="s">
        <v>11</v>
      </c>
      <c r="I34" t="s">
        <v>23</v>
      </c>
      <c r="J34" t="s">
        <v>28</v>
      </c>
      <c r="K34" t="s">
        <v>29</v>
      </c>
      <c r="L34" t="str">
        <f>CONCATENATE(G34,E34,H34,E34,I34,H34,E34,I34,J34,A34,K34)</f>
        <v>Raw Data/2022/FARS2022NationalCSV/FARS2022NationalCSV/PERSON.CSV</v>
      </c>
      <c r="M34" t="str">
        <f>CONCATENATE(G34,E34,H34,E34,I34,H34,E34,I34,J34,B34,K34)</f>
        <v>Raw Data/2022/FARS2022NationalCSV/FARS2022NationalCSV/person.CSV</v>
      </c>
      <c r="N34" t="str">
        <f>CONCATENATE(G35,E35,H35,E35,I35,H35,E35,I35,J35,C35,K35)</f>
        <v>Raw Data/2023/FARS2023NationalCSV/FARS2023NationalCSV/Person.CSV</v>
      </c>
      <c r="O34" t="str">
        <f>CONCATENATE(H34,G34,I34,G34,J34,I34,G34,J34,K34,D34,L34)</f>
        <v>/FARSRaw Data/NationalCSVRaw Data//NationalCSVRaw Data//.CSVPersonRaw Data/2022/FARS2022NationalCSV/FARS2022NationalCSV/PERSON.CSV</v>
      </c>
      <c r="P34" t="str">
        <f>IF(E34&lt;=2014,L34,M34)</f>
        <v>Raw Data/2022/FARS2022NationalCSV/FARS2022NationalCSV/person.CSV</v>
      </c>
      <c r="Q34" t="str">
        <f>CONCATENATE(LOWER(A34),E34," &lt;- ","read.csv(",CHAR(34),P34,CHAR(34),")")</f>
        <v>person2022 &lt;- read.csv("Raw Data/2022/FARS2022NationalCSV/FARS2022NationalCSV/person.CSV")</v>
      </c>
      <c r="R34" t="str">
        <f>CONCATENATE(LOWER(A34),E34)</f>
        <v>person2022</v>
      </c>
    </row>
    <row r="35" spans="1:18" x14ac:dyDescent="0.25">
      <c r="A35" t="s">
        <v>25</v>
      </c>
      <c r="B35" t="str">
        <f t="shared" si="0"/>
        <v>person</v>
      </c>
      <c r="C35" t="str">
        <f t="shared" si="3"/>
        <v>Person</v>
      </c>
      <c r="D35" t="str">
        <f t="shared" si="4"/>
        <v>Person</v>
      </c>
      <c r="E35">
        <v>2023</v>
      </c>
      <c r="F35" s="1" t="str">
        <f t="shared" si="2"/>
        <v>person</v>
      </c>
      <c r="G35" t="s">
        <v>7</v>
      </c>
      <c r="H35" t="s">
        <v>11</v>
      </c>
      <c r="I35" t="s">
        <v>23</v>
      </c>
      <c r="J35" t="s">
        <v>28</v>
      </c>
      <c r="K35" t="s">
        <v>29</v>
      </c>
      <c r="L35" t="str">
        <f>CONCATENATE(G35,E35,H35,E35,I35,H35,E35,I35,J35,A35,K35)</f>
        <v>Raw Data/2023/FARS2023NationalCSV/FARS2023NationalCSV/PERSON.CSV</v>
      </c>
      <c r="M35" t="str">
        <f>CONCATENATE(G35,E35,H35,E35,I35,H35,E35,I35,J35,B35,K35)</f>
        <v>Raw Data/2023/FARS2023NationalCSV/FARS2023NationalCSV/person.CSV</v>
      </c>
      <c r="N35" t="str">
        <f>CONCATENATE(G36,E36,H36,E36,I36,H36,E36,I36,J36,C36,K36)</f>
        <v>Raw Data/2007/FARS2007NationalCSV/FARS2007NationalCSV/Vehicle.CSV</v>
      </c>
      <c r="O35" t="str">
        <f>CONCATENATE(H35,G35,I35,G35,J35,I35,G35,J35,K35,D35,L35)</f>
        <v>/FARSRaw Data/NationalCSVRaw Data//NationalCSVRaw Data//.CSVPersonRaw Data/2023/FARS2023NationalCSV/FARS2023NationalCSV/PERSON.CSV</v>
      </c>
      <c r="P35" t="str">
        <f>IF(E35&lt;=2014,L35,M35)</f>
        <v>Raw Data/2023/FARS2023NationalCSV/FARS2023NationalCSV/person.CSV</v>
      </c>
      <c r="Q35" t="str">
        <f>CONCATENATE(LOWER(A35),E35," &lt;- ","read.csv(",CHAR(34),P35,CHAR(34),")")</f>
        <v>person2023 &lt;- read.csv("Raw Data/2023/FARS2023NationalCSV/FARS2023NationalCSV/person.CSV")</v>
      </c>
      <c r="R35" t="str">
        <f>CONCATENATE(LOWER(A35),E35)</f>
        <v>person2023</v>
      </c>
    </row>
    <row r="36" spans="1:18" x14ac:dyDescent="0.25">
      <c r="A36" t="s">
        <v>26</v>
      </c>
      <c r="B36" t="str">
        <f t="shared" si="0"/>
        <v>vehicle</v>
      </c>
      <c r="C36" t="str">
        <f t="shared" si="3"/>
        <v>Vehicle</v>
      </c>
      <c r="D36" t="str">
        <f>LOWER(A36)</f>
        <v>vehicle</v>
      </c>
      <c r="E36" s="1">
        <v>2007</v>
      </c>
      <c r="F36" s="1" t="str">
        <f t="shared" si="2"/>
        <v>VEHICLE</v>
      </c>
      <c r="G36" t="s">
        <v>7</v>
      </c>
      <c r="H36" t="s">
        <v>11</v>
      </c>
      <c r="I36" t="s">
        <v>23</v>
      </c>
      <c r="J36" t="s">
        <v>28</v>
      </c>
      <c r="K36" t="s">
        <v>29</v>
      </c>
      <c r="L36" t="str">
        <f>CONCATENATE(G36,E36,H36,E36,I36,H36,E36,I36,J36,A36,K36)</f>
        <v>Raw Data/2007/FARS2007NationalCSV/FARS2007NationalCSV/VEHICLE.CSV</v>
      </c>
      <c r="M36" t="str">
        <f>CONCATENATE(G36,E36,H36,E36,I36,H36,E36,I36,J36,B36,K36)</f>
        <v>Raw Data/2007/FARS2007NationalCSV/FARS2007NationalCSV/vehicle.CSV</v>
      </c>
      <c r="N36" t="str">
        <f>CONCATENATE(G37,E37,H37,E37,I37,H37,E37,I37,J37,C37,K37)</f>
        <v>Raw Data/2008/FARS2008NationalCSV/FARS2008NationalCSV/Vehicle.CSV</v>
      </c>
      <c r="O36" t="str">
        <f>CONCATENATE(H36,G36,I36,G36,J36,I36,G36,J36,K36,D36,L36)</f>
        <v>/FARSRaw Data/NationalCSVRaw Data//NationalCSVRaw Data//.CSVvehicleRaw Data/2007/FARS2007NationalCSV/FARS2007NationalCSV/VEHICLE.CSV</v>
      </c>
      <c r="P36" t="str">
        <f>IF(E36&lt;=2014,L36,M36)</f>
        <v>Raw Data/2007/FARS2007NationalCSV/FARS2007NationalCSV/VEHICLE.CSV</v>
      </c>
      <c r="Q36" t="str">
        <f>CONCATENATE(LOWER(A36),E36," &lt;- ","read.csv(",CHAR(34),P36,CHAR(34),")")</f>
        <v>vehicle2007 &lt;- read.csv("Raw Data/2007/FARS2007NationalCSV/FARS2007NationalCSV/VEHICLE.CSV")</v>
      </c>
      <c r="R36" t="str">
        <f>CONCATENATE(LOWER(A36),E36)</f>
        <v>vehicle2007</v>
      </c>
    </row>
    <row r="37" spans="1:18" x14ac:dyDescent="0.25">
      <c r="A37" t="s">
        <v>26</v>
      </c>
      <c r="B37" t="str">
        <f t="shared" si="0"/>
        <v>vehicle</v>
      </c>
      <c r="C37" t="str">
        <f t="shared" si="3"/>
        <v>Vehicle</v>
      </c>
      <c r="D37" t="str">
        <f t="shared" ref="D37:D52" si="5">LOWER(A37)</f>
        <v>vehicle</v>
      </c>
      <c r="E37">
        <v>2008</v>
      </c>
      <c r="F37" s="1" t="str">
        <f t="shared" si="2"/>
        <v>VEHICLE</v>
      </c>
      <c r="G37" t="s">
        <v>7</v>
      </c>
      <c r="H37" t="s">
        <v>11</v>
      </c>
      <c r="I37" t="s">
        <v>23</v>
      </c>
      <c r="J37" t="s">
        <v>28</v>
      </c>
      <c r="K37" t="s">
        <v>29</v>
      </c>
      <c r="L37" t="str">
        <f>CONCATENATE(G37,E37,H37,E37,I37,H37,E37,I37,J37,A37,K37)</f>
        <v>Raw Data/2008/FARS2008NationalCSV/FARS2008NationalCSV/VEHICLE.CSV</v>
      </c>
      <c r="M37" t="str">
        <f>CONCATENATE(G37,E37,H37,E37,I37,H37,E37,I37,J37,B37,K37)</f>
        <v>Raw Data/2008/FARS2008NationalCSV/FARS2008NationalCSV/vehicle.CSV</v>
      </c>
      <c r="N37" t="str">
        <f>CONCATENATE(G38,E38,H38,E38,I38,H38,E38,I38,J38,C38,K38)</f>
        <v>Raw Data/2009/FARS2009NationalCSV/FARS2009NationalCSV/Vehicle.CSV</v>
      </c>
      <c r="O37" t="str">
        <f>CONCATENATE(H37,G37,I37,G37,J37,I37,G37,J37,K37,D37,L37)</f>
        <v>/FARSRaw Data/NationalCSVRaw Data//NationalCSVRaw Data//.CSVvehicleRaw Data/2008/FARS2008NationalCSV/FARS2008NationalCSV/VEHICLE.CSV</v>
      </c>
      <c r="P37" t="str">
        <f>IF(E37&lt;=2014,L37,M37)</f>
        <v>Raw Data/2008/FARS2008NationalCSV/FARS2008NationalCSV/VEHICLE.CSV</v>
      </c>
      <c r="Q37" t="str">
        <f>CONCATENATE(LOWER(A37),E37," &lt;- ","read.csv(",CHAR(34),P37,CHAR(34),")")</f>
        <v>vehicle2008 &lt;- read.csv("Raw Data/2008/FARS2008NationalCSV/FARS2008NationalCSV/VEHICLE.CSV")</v>
      </c>
      <c r="R37" t="str">
        <f>CONCATENATE(LOWER(A37),E37)</f>
        <v>vehicle2008</v>
      </c>
    </row>
    <row r="38" spans="1:18" x14ac:dyDescent="0.25">
      <c r="A38" t="s">
        <v>26</v>
      </c>
      <c r="B38" t="str">
        <f t="shared" si="0"/>
        <v>vehicle</v>
      </c>
      <c r="C38" t="str">
        <f t="shared" si="3"/>
        <v>Vehicle</v>
      </c>
      <c r="D38" t="str">
        <f t="shared" si="5"/>
        <v>vehicle</v>
      </c>
      <c r="E38" s="1">
        <v>2009</v>
      </c>
      <c r="F38" s="1" t="str">
        <f t="shared" si="2"/>
        <v>VEHICLE</v>
      </c>
      <c r="G38" t="s">
        <v>7</v>
      </c>
      <c r="H38" t="s">
        <v>11</v>
      </c>
      <c r="I38" t="s">
        <v>23</v>
      </c>
      <c r="J38" t="s">
        <v>28</v>
      </c>
      <c r="K38" t="s">
        <v>29</v>
      </c>
      <c r="L38" t="str">
        <f>CONCATENATE(G38,E38,H38,E38,I38,H38,E38,I38,J38,A38,K38)</f>
        <v>Raw Data/2009/FARS2009NationalCSV/FARS2009NationalCSV/VEHICLE.CSV</v>
      </c>
      <c r="M38" t="str">
        <f>CONCATENATE(G38,E38,H38,E38,I38,H38,E38,I38,J38,B38,K38)</f>
        <v>Raw Data/2009/FARS2009NationalCSV/FARS2009NationalCSV/vehicle.CSV</v>
      </c>
      <c r="N38" t="str">
        <f>CONCATENATE(G39,E39,H39,E39,I39,H39,E39,I39,J39,C39,K39)</f>
        <v>Raw Data/2010/FARS2010NationalCSV/FARS2010NationalCSV/Vehicle.CSV</v>
      </c>
      <c r="O38" t="str">
        <f>CONCATENATE(H38,G38,I38,G38,J38,I38,G38,J38,K38,D38,L38)</f>
        <v>/FARSRaw Data/NationalCSVRaw Data//NationalCSVRaw Data//.CSVvehicleRaw Data/2009/FARS2009NationalCSV/FARS2009NationalCSV/VEHICLE.CSV</v>
      </c>
      <c r="P38" t="str">
        <f>IF(E38&lt;=2014,L38,M38)</f>
        <v>Raw Data/2009/FARS2009NationalCSV/FARS2009NationalCSV/VEHICLE.CSV</v>
      </c>
      <c r="Q38" t="str">
        <f>CONCATENATE(LOWER(A38),E38," &lt;- ","read.csv(",CHAR(34),P38,CHAR(34),")")</f>
        <v>vehicle2009 &lt;- read.csv("Raw Data/2009/FARS2009NationalCSV/FARS2009NationalCSV/VEHICLE.CSV")</v>
      </c>
      <c r="R38" t="str">
        <f>CONCATENATE(LOWER(A38),E38)</f>
        <v>vehicle2009</v>
      </c>
    </row>
    <row r="39" spans="1:18" x14ac:dyDescent="0.25">
      <c r="A39" t="s">
        <v>26</v>
      </c>
      <c r="B39" t="str">
        <f t="shared" si="0"/>
        <v>vehicle</v>
      </c>
      <c r="C39" t="str">
        <f t="shared" si="3"/>
        <v>Vehicle</v>
      </c>
      <c r="D39" t="str">
        <f t="shared" si="5"/>
        <v>vehicle</v>
      </c>
      <c r="E39">
        <v>2010</v>
      </c>
      <c r="F39" s="1" t="str">
        <f t="shared" si="2"/>
        <v>VEHICLE</v>
      </c>
      <c r="G39" t="s">
        <v>7</v>
      </c>
      <c r="H39" t="s">
        <v>11</v>
      </c>
      <c r="I39" t="s">
        <v>23</v>
      </c>
      <c r="J39" t="s">
        <v>28</v>
      </c>
      <c r="K39" t="s">
        <v>29</v>
      </c>
      <c r="L39" t="str">
        <f>CONCATENATE(G39,E39,H39,E39,I39,H39,E39,I39,J39,A39,K39)</f>
        <v>Raw Data/2010/FARS2010NationalCSV/FARS2010NationalCSV/VEHICLE.CSV</v>
      </c>
      <c r="M39" t="str">
        <f>CONCATENATE(G39,E39,H39,E39,I39,H39,E39,I39,J39,B39,K39)</f>
        <v>Raw Data/2010/FARS2010NationalCSV/FARS2010NationalCSV/vehicle.CSV</v>
      </c>
      <c r="N39" t="str">
        <f>CONCATENATE(G40,E40,H40,E40,I40,H40,E40,I40,J40,C40,K40)</f>
        <v>Raw Data/2011/FARS2011NationalCSV/FARS2011NationalCSV/Vehicle.CSV</v>
      </c>
      <c r="O39" t="str">
        <f>CONCATENATE(H39,G39,I39,G39,J39,I39,G39,J39,K39,D39,L39)</f>
        <v>/FARSRaw Data/NationalCSVRaw Data//NationalCSVRaw Data//.CSVvehicleRaw Data/2010/FARS2010NationalCSV/FARS2010NationalCSV/VEHICLE.CSV</v>
      </c>
      <c r="P39" t="str">
        <f>IF(E39&lt;=2014,L39,M39)</f>
        <v>Raw Data/2010/FARS2010NationalCSV/FARS2010NationalCSV/VEHICLE.CSV</v>
      </c>
      <c r="Q39" t="str">
        <f>CONCATENATE(LOWER(A39),E39," &lt;- ","read.csv(",CHAR(34),P39,CHAR(34),")")</f>
        <v>vehicle2010 &lt;- read.csv("Raw Data/2010/FARS2010NationalCSV/FARS2010NationalCSV/VEHICLE.CSV")</v>
      </c>
      <c r="R39" t="str">
        <f>CONCATENATE(LOWER(A39),E39)</f>
        <v>vehicle2010</v>
      </c>
    </row>
    <row r="40" spans="1:18" x14ac:dyDescent="0.25">
      <c r="A40" t="s">
        <v>26</v>
      </c>
      <c r="B40" t="str">
        <f t="shared" si="0"/>
        <v>vehicle</v>
      </c>
      <c r="C40" t="str">
        <f t="shared" si="3"/>
        <v>Vehicle</v>
      </c>
      <c r="D40" t="str">
        <f t="shared" si="5"/>
        <v>vehicle</v>
      </c>
      <c r="E40" s="1">
        <v>2011</v>
      </c>
      <c r="F40" s="1" t="str">
        <f t="shared" si="2"/>
        <v>VEHICLE</v>
      </c>
      <c r="G40" t="s">
        <v>7</v>
      </c>
      <c r="H40" t="s">
        <v>11</v>
      </c>
      <c r="I40" t="s">
        <v>23</v>
      </c>
      <c r="J40" t="s">
        <v>28</v>
      </c>
      <c r="K40" t="s">
        <v>29</v>
      </c>
      <c r="L40" t="str">
        <f>CONCATENATE(G40,E40,H40,E40,I40,H40,E40,I40,J40,A40,K40)</f>
        <v>Raw Data/2011/FARS2011NationalCSV/FARS2011NationalCSV/VEHICLE.CSV</v>
      </c>
      <c r="M40" t="str">
        <f>CONCATENATE(G40,E40,H40,E40,I40,H40,E40,I40,J40,B40,K40)</f>
        <v>Raw Data/2011/FARS2011NationalCSV/FARS2011NationalCSV/vehicle.CSV</v>
      </c>
      <c r="N40" t="str">
        <f>CONCATENATE(G41,E41,H41,E41,I41,H41,E41,I41,J41,C41,K41)</f>
        <v>Raw Data/2012/FARS2012NationalCSV/FARS2012NationalCSV/Vehicle.CSV</v>
      </c>
      <c r="O40" t="str">
        <f>CONCATENATE(H40,G40,I40,G40,J40,I40,G40,J40,K40,D40,L40)</f>
        <v>/FARSRaw Data/NationalCSVRaw Data//NationalCSVRaw Data//.CSVvehicleRaw Data/2011/FARS2011NationalCSV/FARS2011NationalCSV/VEHICLE.CSV</v>
      </c>
      <c r="P40" t="str">
        <f>IF(E40&lt;=2014,L40,M40)</f>
        <v>Raw Data/2011/FARS2011NationalCSV/FARS2011NationalCSV/VEHICLE.CSV</v>
      </c>
      <c r="Q40" t="str">
        <f>CONCATENATE(LOWER(A40),E40," &lt;- ","read.csv(",CHAR(34),P40,CHAR(34),")")</f>
        <v>vehicle2011 &lt;- read.csv("Raw Data/2011/FARS2011NationalCSV/FARS2011NationalCSV/VEHICLE.CSV")</v>
      </c>
      <c r="R40" t="str">
        <f>CONCATENATE(LOWER(A40),E40)</f>
        <v>vehicle2011</v>
      </c>
    </row>
    <row r="41" spans="1:18" x14ac:dyDescent="0.25">
      <c r="A41" t="s">
        <v>26</v>
      </c>
      <c r="B41" t="str">
        <f t="shared" si="0"/>
        <v>vehicle</v>
      </c>
      <c r="C41" t="str">
        <f t="shared" si="3"/>
        <v>Vehicle</v>
      </c>
      <c r="D41" t="str">
        <f t="shared" si="5"/>
        <v>vehicle</v>
      </c>
      <c r="E41">
        <v>2012</v>
      </c>
      <c r="F41" s="1" t="str">
        <f t="shared" si="2"/>
        <v>VEHICLE</v>
      </c>
      <c r="G41" t="s">
        <v>7</v>
      </c>
      <c r="H41" t="s">
        <v>11</v>
      </c>
      <c r="I41" t="s">
        <v>23</v>
      </c>
      <c r="J41" t="s">
        <v>28</v>
      </c>
      <c r="K41" t="s">
        <v>29</v>
      </c>
      <c r="L41" t="str">
        <f>CONCATENATE(G41,E41,H41,E41,I41,H41,E41,I41,J41,A41,K41)</f>
        <v>Raw Data/2012/FARS2012NationalCSV/FARS2012NationalCSV/VEHICLE.CSV</v>
      </c>
      <c r="M41" t="str">
        <f>CONCATENATE(G41,E41,H41,E41,I41,H41,E41,I41,J41,B41,K41)</f>
        <v>Raw Data/2012/FARS2012NationalCSV/FARS2012NationalCSV/vehicle.CSV</v>
      </c>
      <c r="N41" t="str">
        <f>CONCATENATE(G42,E42,H42,E42,I42,H42,E42,I42,J42,C42,K42)</f>
        <v>Raw Data/2013/FARS2013NationalCSV/FARS2013NationalCSV/Vehicle.CSV</v>
      </c>
      <c r="O41" t="str">
        <f>CONCATENATE(H41,G41,I41,G41,J41,I41,G41,J41,K41,D41,L41)</f>
        <v>/FARSRaw Data/NationalCSVRaw Data//NationalCSVRaw Data//.CSVvehicleRaw Data/2012/FARS2012NationalCSV/FARS2012NationalCSV/VEHICLE.CSV</v>
      </c>
      <c r="P41" t="str">
        <f>IF(E41&lt;=2014,L41,M41)</f>
        <v>Raw Data/2012/FARS2012NationalCSV/FARS2012NationalCSV/VEHICLE.CSV</v>
      </c>
      <c r="Q41" t="str">
        <f>CONCATENATE(LOWER(A41),E41," &lt;- ","read.csv(",CHAR(34),P41,CHAR(34),")")</f>
        <v>vehicle2012 &lt;- read.csv("Raw Data/2012/FARS2012NationalCSV/FARS2012NationalCSV/VEHICLE.CSV")</v>
      </c>
      <c r="R41" t="str">
        <f>CONCATENATE(LOWER(A41),E41)</f>
        <v>vehicle2012</v>
      </c>
    </row>
    <row r="42" spans="1:18" x14ac:dyDescent="0.25">
      <c r="A42" t="s">
        <v>26</v>
      </c>
      <c r="B42" t="str">
        <f t="shared" si="0"/>
        <v>vehicle</v>
      </c>
      <c r="C42" t="str">
        <f t="shared" si="3"/>
        <v>Vehicle</v>
      </c>
      <c r="D42" t="str">
        <f t="shared" si="5"/>
        <v>vehicle</v>
      </c>
      <c r="E42" s="1">
        <v>2013</v>
      </c>
      <c r="F42" s="1" t="str">
        <f t="shared" si="2"/>
        <v>VEHICLE</v>
      </c>
      <c r="G42" t="s">
        <v>7</v>
      </c>
      <c r="H42" t="s">
        <v>11</v>
      </c>
      <c r="I42" t="s">
        <v>23</v>
      </c>
      <c r="J42" t="s">
        <v>28</v>
      </c>
      <c r="K42" t="s">
        <v>29</v>
      </c>
      <c r="L42" t="str">
        <f>CONCATENATE(G42,E42,H42,E42,I42,H42,E42,I42,J42,A42,K42)</f>
        <v>Raw Data/2013/FARS2013NationalCSV/FARS2013NationalCSV/VEHICLE.CSV</v>
      </c>
      <c r="M42" t="str">
        <f>CONCATENATE(G42,E42,H42,E42,I42,H42,E42,I42,J42,B42,K42)</f>
        <v>Raw Data/2013/FARS2013NationalCSV/FARS2013NationalCSV/vehicle.CSV</v>
      </c>
      <c r="N42" t="str">
        <f>CONCATENATE(G43,E43,H43,E43,I43,H43,E43,I43,J43,C43,K43)</f>
        <v>Raw Data/2014/FARS2014NationalCSV/FARS2014NationalCSV/Vehicle.CSV</v>
      </c>
      <c r="O42" t="str">
        <f>CONCATENATE(H42,G42,I42,G42,J42,I42,G42,J42,K42,D42,L42)</f>
        <v>/FARSRaw Data/NationalCSVRaw Data//NationalCSVRaw Data//.CSVvehicleRaw Data/2013/FARS2013NationalCSV/FARS2013NationalCSV/VEHICLE.CSV</v>
      </c>
      <c r="P42" t="str">
        <f>IF(E42&lt;=2014,L42,M42)</f>
        <v>Raw Data/2013/FARS2013NationalCSV/FARS2013NationalCSV/VEHICLE.CSV</v>
      </c>
      <c r="Q42" t="str">
        <f>CONCATENATE(LOWER(A42),E42," &lt;- ","read.csv(",CHAR(34),P42,CHAR(34),")")</f>
        <v>vehicle2013 &lt;- read.csv("Raw Data/2013/FARS2013NationalCSV/FARS2013NationalCSV/VEHICLE.CSV")</v>
      </c>
      <c r="R42" t="str">
        <f>CONCATENATE(LOWER(A42),E42)</f>
        <v>vehicle2013</v>
      </c>
    </row>
    <row r="43" spans="1:18" x14ac:dyDescent="0.25">
      <c r="A43" t="s">
        <v>26</v>
      </c>
      <c r="B43" t="str">
        <f t="shared" si="0"/>
        <v>vehicle</v>
      </c>
      <c r="C43" t="str">
        <f t="shared" si="3"/>
        <v>Vehicle</v>
      </c>
      <c r="D43" t="str">
        <f t="shared" si="5"/>
        <v>vehicle</v>
      </c>
      <c r="E43">
        <v>2014</v>
      </c>
      <c r="F43" s="1" t="str">
        <f t="shared" si="2"/>
        <v>VEHICLE</v>
      </c>
      <c r="G43" t="s">
        <v>7</v>
      </c>
      <c r="H43" t="s">
        <v>11</v>
      </c>
      <c r="I43" t="s">
        <v>23</v>
      </c>
      <c r="J43" t="s">
        <v>28</v>
      </c>
      <c r="K43" t="s">
        <v>29</v>
      </c>
      <c r="L43" t="str">
        <f>CONCATENATE(G43,E43,H43,E43,I43,H43,E43,I43,J43,A43,K43)</f>
        <v>Raw Data/2014/FARS2014NationalCSV/FARS2014NationalCSV/VEHICLE.CSV</v>
      </c>
      <c r="M43" t="str">
        <f>CONCATENATE(G43,E43,H43,E43,I43,H43,E43,I43,J43,B43,K43)</f>
        <v>Raw Data/2014/FARS2014NationalCSV/FARS2014NationalCSV/vehicle.CSV</v>
      </c>
      <c r="N43" t="str">
        <f>CONCATENATE(G44,E44,H44,E44,I44,H44,E44,I44,J44,C44,K44)</f>
        <v>Raw Data/2015/FARS2015NationalCSV/FARS2015NationalCSV/Vehicle.CSV</v>
      </c>
      <c r="O43" t="str">
        <f>CONCATENATE(H43,G43,I43,G43,J43,I43,G43,J43,K43,D43,L43)</f>
        <v>/FARSRaw Data/NationalCSVRaw Data//NationalCSVRaw Data//.CSVvehicleRaw Data/2014/FARS2014NationalCSV/FARS2014NationalCSV/VEHICLE.CSV</v>
      </c>
      <c r="P43" t="str">
        <f>IF(E43&lt;=2014,L43,M43)</f>
        <v>Raw Data/2014/FARS2014NationalCSV/FARS2014NationalCSV/VEHICLE.CSV</v>
      </c>
      <c r="Q43" t="str">
        <f>CONCATENATE(LOWER(A43),E43," &lt;- ","read.csv(",CHAR(34),P43,CHAR(34),")")</f>
        <v>vehicle2014 &lt;- read.csv("Raw Data/2014/FARS2014NationalCSV/FARS2014NationalCSV/VEHICLE.CSV")</v>
      </c>
      <c r="R43" t="str">
        <f>CONCATENATE(LOWER(A43),E43)</f>
        <v>vehicle2014</v>
      </c>
    </row>
    <row r="44" spans="1:18" x14ac:dyDescent="0.25">
      <c r="A44" t="s">
        <v>26</v>
      </c>
      <c r="B44" t="str">
        <f t="shared" si="0"/>
        <v>vehicle</v>
      </c>
      <c r="C44" t="str">
        <f t="shared" si="3"/>
        <v>Vehicle</v>
      </c>
      <c r="D44" t="str">
        <f t="shared" si="5"/>
        <v>vehicle</v>
      </c>
      <c r="E44" s="1">
        <v>2015</v>
      </c>
      <c r="F44" s="1" t="str">
        <f t="shared" si="2"/>
        <v>vehicle</v>
      </c>
      <c r="G44" t="s">
        <v>7</v>
      </c>
      <c r="H44" t="s">
        <v>11</v>
      </c>
      <c r="I44" t="s">
        <v>23</v>
      </c>
      <c r="J44" t="s">
        <v>28</v>
      </c>
      <c r="K44" t="s">
        <v>29</v>
      </c>
      <c r="L44" t="str">
        <f>CONCATENATE(G44,E44,H44,E44,I44,H44,E44,I44,J44,A44,K44)</f>
        <v>Raw Data/2015/FARS2015NationalCSV/FARS2015NationalCSV/VEHICLE.CSV</v>
      </c>
      <c r="M44" t="str">
        <f>CONCATENATE(G44,E44,H44,E44,I44,H44,E44,I44,J44,B44,K44)</f>
        <v>Raw Data/2015/FARS2015NationalCSV/FARS2015NationalCSV/vehicle.CSV</v>
      </c>
      <c r="N44" t="str">
        <f>CONCATENATE(G45,E45,H45,E45,I45,H45,E45,I45,J45,C45,K45)</f>
        <v>Raw Data/2016/FARS2016NationalCSV/FARS2016NationalCSV/Vehicle.CSV</v>
      </c>
      <c r="O44" t="str">
        <f>CONCATENATE(H44,G44,I44,G44,J44,I44,G44,J44,K44,D44,L44)</f>
        <v>/FARSRaw Data/NationalCSVRaw Data//NationalCSVRaw Data//.CSVvehicleRaw Data/2015/FARS2015NationalCSV/FARS2015NationalCSV/VEHICLE.CSV</v>
      </c>
      <c r="P44" t="str">
        <f>IF(E44&lt;=2014,L44,M44)</f>
        <v>Raw Data/2015/FARS2015NationalCSV/FARS2015NationalCSV/vehicle.CSV</v>
      </c>
      <c r="Q44" t="str">
        <f>CONCATENATE(LOWER(A44),E44," &lt;- ","read.csv(",CHAR(34),P44,CHAR(34),")")</f>
        <v>vehicle2015 &lt;- read.csv("Raw Data/2015/FARS2015NationalCSV/FARS2015NationalCSV/vehicle.CSV")</v>
      </c>
      <c r="R44" t="str">
        <f>CONCATENATE(LOWER(A44),E44)</f>
        <v>vehicle2015</v>
      </c>
    </row>
    <row r="45" spans="1:18" x14ac:dyDescent="0.25">
      <c r="A45" t="s">
        <v>26</v>
      </c>
      <c r="B45" t="str">
        <f t="shared" si="0"/>
        <v>vehicle</v>
      </c>
      <c r="C45" t="str">
        <f t="shared" si="3"/>
        <v>Vehicle</v>
      </c>
      <c r="D45" t="str">
        <f t="shared" si="5"/>
        <v>vehicle</v>
      </c>
      <c r="E45">
        <v>2016</v>
      </c>
      <c r="F45" s="1" t="str">
        <f t="shared" si="2"/>
        <v>Vehicle</v>
      </c>
      <c r="G45" t="s">
        <v>7</v>
      </c>
      <c r="H45" t="s">
        <v>11</v>
      </c>
      <c r="I45" t="s">
        <v>23</v>
      </c>
      <c r="J45" t="s">
        <v>28</v>
      </c>
      <c r="K45" t="s">
        <v>29</v>
      </c>
      <c r="L45" t="str">
        <f>CONCATENATE(G45,E45,H45,E45,I45,H45,E45,I45,J45,A45,K45)</f>
        <v>Raw Data/2016/FARS2016NationalCSV/FARS2016NationalCSV/VEHICLE.CSV</v>
      </c>
      <c r="M45" t="str">
        <f>CONCATENATE(G45,E45,H45,E45,I45,H45,E45,I45,J45,B45,K45)</f>
        <v>Raw Data/2016/FARS2016NationalCSV/FARS2016NationalCSV/vehicle.CSV</v>
      </c>
      <c r="N45" t="str">
        <f>CONCATENATE(G46,E46,H46,E46,I46,H46,E46,I46,J46,C46,K46)</f>
        <v>Raw Data/2017/FARS2017NationalCSV/FARS2017NationalCSV/Vehicle.CSV</v>
      </c>
      <c r="O45" t="str">
        <f>CONCATENATE(H45,G45,I45,G45,J45,I45,G45,J45,K45,D45,L45)</f>
        <v>/FARSRaw Data/NationalCSVRaw Data//NationalCSVRaw Data//.CSVvehicleRaw Data/2016/FARS2016NationalCSV/FARS2016NationalCSV/VEHICLE.CSV</v>
      </c>
      <c r="P45" t="str">
        <f>IF(E45&lt;=2014,L45,M45)</f>
        <v>Raw Data/2016/FARS2016NationalCSV/FARS2016NationalCSV/vehicle.CSV</v>
      </c>
      <c r="Q45" t="str">
        <f>CONCATENATE(LOWER(A45),E45," &lt;- ","read.csv(",CHAR(34),P45,CHAR(34),")")</f>
        <v>vehicle2016 &lt;- read.csv("Raw Data/2016/FARS2016NationalCSV/FARS2016NationalCSV/vehicle.CSV")</v>
      </c>
      <c r="R45" t="str">
        <f>CONCATENATE(LOWER(A45),E45)</f>
        <v>vehicle2016</v>
      </c>
    </row>
    <row r="46" spans="1:18" x14ac:dyDescent="0.25">
      <c r="A46" t="s">
        <v>26</v>
      </c>
      <c r="B46" t="str">
        <f t="shared" si="0"/>
        <v>vehicle</v>
      </c>
      <c r="C46" t="str">
        <f t="shared" si="3"/>
        <v>Vehicle</v>
      </c>
      <c r="D46" t="str">
        <f t="shared" si="5"/>
        <v>vehicle</v>
      </c>
      <c r="E46" s="1">
        <v>2017</v>
      </c>
      <c r="F46" s="1" t="str">
        <f t="shared" si="2"/>
        <v>Vehicle</v>
      </c>
      <c r="G46" t="s">
        <v>7</v>
      </c>
      <c r="H46" t="s">
        <v>11</v>
      </c>
      <c r="I46" t="s">
        <v>23</v>
      </c>
      <c r="J46" t="s">
        <v>28</v>
      </c>
      <c r="K46" t="s">
        <v>29</v>
      </c>
      <c r="L46" t="str">
        <f>CONCATENATE(G46,E46,H46,E46,I46,H46,E46,I46,J46,A46,K46)</f>
        <v>Raw Data/2017/FARS2017NationalCSV/FARS2017NationalCSV/VEHICLE.CSV</v>
      </c>
      <c r="M46" t="str">
        <f>CONCATENATE(G46,E46,H46,E46,I46,H46,E46,I46,J46,B46,K46)</f>
        <v>Raw Data/2017/FARS2017NationalCSV/FARS2017NationalCSV/vehicle.CSV</v>
      </c>
      <c r="N46" t="str">
        <f>CONCATENATE(G47,E47,H47,E47,I47,H47,E47,I47,J47,C47,K47)</f>
        <v>Raw Data/2018/FARS2018NationalCSV/FARS2018NationalCSV/Vehicle.CSV</v>
      </c>
      <c r="O46" t="str">
        <f>CONCATENATE(H46,G46,I46,G46,J46,I46,G46,J46,K46,D46,L46)</f>
        <v>/FARSRaw Data/NationalCSVRaw Data//NationalCSVRaw Data//.CSVvehicleRaw Data/2017/FARS2017NationalCSV/FARS2017NationalCSV/VEHICLE.CSV</v>
      </c>
      <c r="P46" t="str">
        <f>IF(E46&lt;=2014,L46,M46)</f>
        <v>Raw Data/2017/FARS2017NationalCSV/FARS2017NationalCSV/vehicle.CSV</v>
      </c>
      <c r="Q46" t="str">
        <f>CONCATENATE(LOWER(A46),E46," &lt;- ","read.csv(",CHAR(34),P46,CHAR(34),")")</f>
        <v>vehicle2017 &lt;- read.csv("Raw Data/2017/FARS2017NationalCSV/FARS2017NationalCSV/vehicle.CSV")</v>
      </c>
      <c r="R46" t="str">
        <f>CONCATENATE(LOWER(A46),E46)</f>
        <v>vehicle2017</v>
      </c>
    </row>
    <row r="47" spans="1:18" x14ac:dyDescent="0.25">
      <c r="A47" t="s">
        <v>26</v>
      </c>
      <c r="B47" t="str">
        <f t="shared" si="0"/>
        <v>vehicle</v>
      </c>
      <c r="C47" t="str">
        <f t="shared" si="3"/>
        <v>Vehicle</v>
      </c>
      <c r="D47" t="str">
        <f t="shared" si="5"/>
        <v>vehicle</v>
      </c>
      <c r="E47">
        <v>2018</v>
      </c>
      <c r="F47" s="1" t="str">
        <f t="shared" si="2"/>
        <v>vehicle</v>
      </c>
      <c r="G47" t="s">
        <v>7</v>
      </c>
      <c r="H47" t="s">
        <v>11</v>
      </c>
      <c r="I47" t="s">
        <v>23</v>
      </c>
      <c r="J47" t="s">
        <v>28</v>
      </c>
      <c r="K47" t="s">
        <v>29</v>
      </c>
      <c r="L47" t="str">
        <f>CONCATENATE(G47,E47,H47,E47,I47,H47,E47,I47,J47,A47,K47)</f>
        <v>Raw Data/2018/FARS2018NationalCSV/FARS2018NationalCSV/VEHICLE.CSV</v>
      </c>
      <c r="M47" t="str">
        <f>CONCATENATE(G47,E47,H47,E47,I47,H47,E47,I47,J47,B47,K47)</f>
        <v>Raw Data/2018/FARS2018NationalCSV/FARS2018NationalCSV/vehicle.CSV</v>
      </c>
      <c r="N47" t="str">
        <f>CONCATENATE(G48,E48,H48,E48,I48,H48,E48,I48,J48,C48,K48)</f>
        <v>Raw Data/2019/FARS2019NationalCSV/FARS2019NationalCSV/Vehicle.CSV</v>
      </c>
      <c r="O47" t="str">
        <f>CONCATENATE(H47,G47,I47,G47,J47,I47,G47,J47,K47,D47,L47)</f>
        <v>/FARSRaw Data/NationalCSVRaw Data//NationalCSVRaw Data//.CSVvehicleRaw Data/2018/FARS2018NationalCSV/FARS2018NationalCSV/VEHICLE.CSV</v>
      </c>
      <c r="P47" t="str">
        <f>IF(E47&lt;=2014,L47,M47)</f>
        <v>Raw Data/2018/FARS2018NationalCSV/FARS2018NationalCSV/vehicle.CSV</v>
      </c>
      <c r="Q47" t="str">
        <f>CONCATENATE(LOWER(A47),E47," &lt;- ","read.csv(",CHAR(34),P47,CHAR(34),")")</f>
        <v>vehicle2018 &lt;- read.csv("Raw Data/2018/FARS2018NationalCSV/FARS2018NationalCSV/vehicle.CSV")</v>
      </c>
      <c r="R47" t="str">
        <f>CONCATENATE(LOWER(A47),E47)</f>
        <v>vehicle2018</v>
      </c>
    </row>
    <row r="48" spans="1:18" x14ac:dyDescent="0.25">
      <c r="A48" t="s">
        <v>26</v>
      </c>
      <c r="B48" t="str">
        <f t="shared" si="0"/>
        <v>vehicle</v>
      </c>
      <c r="C48" t="str">
        <f t="shared" si="3"/>
        <v>Vehicle</v>
      </c>
      <c r="D48" t="str">
        <f t="shared" si="5"/>
        <v>vehicle</v>
      </c>
      <c r="E48" s="1">
        <v>2019</v>
      </c>
      <c r="F48" s="1" t="str">
        <f t="shared" si="2"/>
        <v>vehicle</v>
      </c>
      <c r="G48" t="s">
        <v>7</v>
      </c>
      <c r="H48" t="s">
        <v>11</v>
      </c>
      <c r="I48" t="s">
        <v>23</v>
      </c>
      <c r="J48" t="s">
        <v>28</v>
      </c>
      <c r="K48" t="s">
        <v>29</v>
      </c>
      <c r="L48" t="str">
        <f>CONCATENATE(G48,E48,H48,E48,I48,H48,E48,I48,J48,A48,K48)</f>
        <v>Raw Data/2019/FARS2019NationalCSV/FARS2019NationalCSV/VEHICLE.CSV</v>
      </c>
      <c r="M48" t="str">
        <f>CONCATENATE(G48,E48,H48,E48,I48,H48,E48,I48,J48,B48,K48)</f>
        <v>Raw Data/2019/FARS2019NationalCSV/FARS2019NationalCSV/vehicle.CSV</v>
      </c>
      <c r="N48" t="str">
        <f>CONCATENATE(G49,E49,H49,E49,I49,H49,E49,I49,J49,C49,K49)</f>
        <v>Raw Data/2020/FARS2020NationalCSV/FARS2020NationalCSV/Vehicle.CSV</v>
      </c>
      <c r="O48" t="str">
        <f>CONCATENATE(H48,G48,I48,G48,J48,I48,G48,J48,K48,D48,L48)</f>
        <v>/FARSRaw Data/NationalCSVRaw Data//NationalCSVRaw Data//.CSVvehicleRaw Data/2019/FARS2019NationalCSV/FARS2019NationalCSV/VEHICLE.CSV</v>
      </c>
      <c r="P48" t="str">
        <f>IF(E48&lt;=2014,L48,M48)</f>
        <v>Raw Data/2019/FARS2019NationalCSV/FARS2019NationalCSV/vehicle.CSV</v>
      </c>
      <c r="Q48" t="str">
        <f>CONCATENATE(LOWER(A48),E48," &lt;- ","read.csv(",CHAR(34),P48,CHAR(34),")")</f>
        <v>vehicle2019 &lt;- read.csv("Raw Data/2019/FARS2019NationalCSV/FARS2019NationalCSV/vehicle.CSV")</v>
      </c>
      <c r="R48" t="str">
        <f>CONCATENATE(LOWER(A48),E48)</f>
        <v>vehicle2019</v>
      </c>
    </row>
    <row r="49" spans="1:18" x14ac:dyDescent="0.25">
      <c r="A49" t="s">
        <v>26</v>
      </c>
      <c r="B49" t="str">
        <f t="shared" si="0"/>
        <v>vehicle</v>
      </c>
      <c r="C49" t="str">
        <f t="shared" si="3"/>
        <v>Vehicle</v>
      </c>
      <c r="D49" t="str">
        <f t="shared" si="5"/>
        <v>vehicle</v>
      </c>
      <c r="E49">
        <v>2020</v>
      </c>
      <c r="F49" s="1" t="str">
        <f t="shared" si="2"/>
        <v>vehicle</v>
      </c>
      <c r="G49" t="s">
        <v>7</v>
      </c>
      <c r="H49" t="s">
        <v>11</v>
      </c>
      <c r="I49" t="s">
        <v>23</v>
      </c>
      <c r="J49" t="s">
        <v>28</v>
      </c>
      <c r="K49" t="s">
        <v>29</v>
      </c>
      <c r="L49" t="str">
        <f>CONCATENATE(G49,E49,H49,E49,I49,H49,E49,I49,J49,A49,K49)</f>
        <v>Raw Data/2020/FARS2020NationalCSV/FARS2020NationalCSV/VEHICLE.CSV</v>
      </c>
      <c r="M49" t="str">
        <f>CONCATENATE(G49,E49,H49,E49,I49,H49,E49,I49,J49,B49,K49)</f>
        <v>Raw Data/2020/FARS2020NationalCSV/FARS2020NationalCSV/vehicle.CSV</v>
      </c>
      <c r="N49" t="str">
        <f>CONCATENATE(G50,E50,H50,E50,I50,H50,E50,I50,J50,C50,K50)</f>
        <v>Raw Data/2021/FARS2021NationalCSV/FARS2021NationalCSV/Vehicle.CSV</v>
      </c>
      <c r="O49" t="str">
        <f>CONCATENATE(H49,G49,I49,G49,J49,I49,G49,J49,K49,D49,L49)</f>
        <v>/FARSRaw Data/NationalCSVRaw Data//NationalCSVRaw Data//.CSVvehicleRaw Data/2020/FARS2020NationalCSV/FARS2020NationalCSV/VEHICLE.CSV</v>
      </c>
      <c r="P49" t="str">
        <f>IF(E49&lt;=2014,L49,M49)</f>
        <v>Raw Data/2020/FARS2020NationalCSV/FARS2020NationalCSV/vehicle.CSV</v>
      </c>
      <c r="Q49" t="str">
        <f>CONCATENATE(LOWER(A49),E49," &lt;- ","read.csv(",CHAR(34),P49,CHAR(34),")")</f>
        <v>vehicle2020 &lt;- read.csv("Raw Data/2020/FARS2020NationalCSV/FARS2020NationalCSV/vehicle.CSV")</v>
      </c>
      <c r="R49" t="str">
        <f>CONCATENATE(LOWER(A49),E49)</f>
        <v>vehicle2020</v>
      </c>
    </row>
    <row r="50" spans="1:18" x14ac:dyDescent="0.25">
      <c r="A50" t="s">
        <v>26</v>
      </c>
      <c r="B50" t="str">
        <f t="shared" si="0"/>
        <v>vehicle</v>
      </c>
      <c r="C50" t="str">
        <f t="shared" si="3"/>
        <v>Vehicle</v>
      </c>
      <c r="D50" t="str">
        <f t="shared" si="5"/>
        <v>vehicle</v>
      </c>
      <c r="E50" s="1">
        <v>2021</v>
      </c>
      <c r="F50" s="1" t="str">
        <f t="shared" si="2"/>
        <v>vehicle</v>
      </c>
      <c r="G50" t="s">
        <v>7</v>
      </c>
      <c r="H50" t="s">
        <v>11</v>
      </c>
      <c r="I50" t="s">
        <v>23</v>
      </c>
      <c r="J50" t="s">
        <v>28</v>
      </c>
      <c r="K50" t="s">
        <v>29</v>
      </c>
      <c r="L50" t="str">
        <f>CONCATENATE(G50,E50,H50,E50,I50,H50,E50,I50,J50,A50,K50)</f>
        <v>Raw Data/2021/FARS2021NationalCSV/FARS2021NationalCSV/VEHICLE.CSV</v>
      </c>
      <c r="M50" t="str">
        <f>CONCATENATE(G50,E50,H50,E50,I50,H50,E50,I50,J50,B50,K50)</f>
        <v>Raw Data/2021/FARS2021NationalCSV/FARS2021NationalCSV/vehicle.CSV</v>
      </c>
      <c r="N50" t="str">
        <f>CONCATENATE(G51,E51,H51,E51,I51,H51,E51,I51,J51,C51,K51)</f>
        <v>Raw Data/2022/FARS2022NationalCSV/FARS2022NationalCSV/Vehicle.CSV</v>
      </c>
      <c r="O50" t="str">
        <f>CONCATENATE(H50,G50,I50,G50,J50,I50,G50,J50,K50,D50,L50)</f>
        <v>/FARSRaw Data/NationalCSVRaw Data//NationalCSVRaw Data//.CSVvehicleRaw Data/2021/FARS2021NationalCSV/FARS2021NationalCSV/VEHICLE.CSV</v>
      </c>
      <c r="P50" t="str">
        <f>IF(E50&lt;=2014,L50,M50)</f>
        <v>Raw Data/2021/FARS2021NationalCSV/FARS2021NationalCSV/vehicle.CSV</v>
      </c>
      <c r="Q50" t="str">
        <f>CONCATENATE(LOWER(A50),E50," &lt;- ","read.csv(",CHAR(34),P50,CHAR(34),")")</f>
        <v>vehicle2021 &lt;- read.csv("Raw Data/2021/FARS2021NationalCSV/FARS2021NationalCSV/vehicle.CSV")</v>
      </c>
      <c r="R50" t="str">
        <f>CONCATENATE(LOWER(A50),E50)</f>
        <v>vehicle2021</v>
      </c>
    </row>
    <row r="51" spans="1:18" x14ac:dyDescent="0.25">
      <c r="A51" t="s">
        <v>26</v>
      </c>
      <c r="B51" t="str">
        <f t="shared" si="0"/>
        <v>vehicle</v>
      </c>
      <c r="C51" t="str">
        <f t="shared" si="3"/>
        <v>Vehicle</v>
      </c>
      <c r="D51" t="str">
        <f t="shared" si="5"/>
        <v>vehicle</v>
      </c>
      <c r="E51">
        <v>2022</v>
      </c>
      <c r="F51" s="1" t="str">
        <f t="shared" si="2"/>
        <v>vehicle</v>
      </c>
      <c r="G51" t="s">
        <v>7</v>
      </c>
      <c r="H51" t="s">
        <v>11</v>
      </c>
      <c r="I51" t="s">
        <v>23</v>
      </c>
      <c r="J51" t="s">
        <v>28</v>
      </c>
      <c r="K51" t="s">
        <v>29</v>
      </c>
      <c r="L51" t="str">
        <f>CONCATENATE(G51,E51,H51,E51,I51,H51,E51,I51,J51,A51,K51)</f>
        <v>Raw Data/2022/FARS2022NationalCSV/FARS2022NationalCSV/VEHICLE.CSV</v>
      </c>
      <c r="M51" t="str">
        <f>CONCATENATE(G51,E51,H51,E51,I51,H51,E51,I51,J51,B51,K51)</f>
        <v>Raw Data/2022/FARS2022NationalCSV/FARS2022NationalCSV/vehicle.CSV</v>
      </c>
      <c r="N51" t="str">
        <f>CONCATENATE(G52,E52,H52,E52,I52,H52,E52,I52,J52,C52,K52)</f>
        <v>Raw Data/2023/FARS2023NationalCSV/FARS2023NationalCSV/Vehicle.CSV</v>
      </c>
      <c r="O51" t="str">
        <f>CONCATENATE(H51,G51,I51,G51,J51,I51,G51,J51,K51,D51,L51)</f>
        <v>/FARSRaw Data/NationalCSVRaw Data//NationalCSVRaw Data//.CSVvehicleRaw Data/2022/FARS2022NationalCSV/FARS2022NationalCSV/VEHICLE.CSV</v>
      </c>
      <c r="P51" t="str">
        <f>IF(E51&lt;=2014,L51,M51)</f>
        <v>Raw Data/2022/FARS2022NationalCSV/FARS2022NationalCSV/vehicle.CSV</v>
      </c>
      <c r="Q51" t="str">
        <f>CONCATENATE(LOWER(A51),E51," &lt;- ","read.csv(",CHAR(34),P51,CHAR(34),")")</f>
        <v>vehicle2022 &lt;- read.csv("Raw Data/2022/FARS2022NationalCSV/FARS2022NationalCSV/vehicle.CSV")</v>
      </c>
      <c r="R51" t="str">
        <f>CONCATENATE(LOWER(A51),E51)</f>
        <v>vehicle2022</v>
      </c>
    </row>
    <row r="52" spans="1:18" x14ac:dyDescent="0.25">
      <c r="A52" t="s">
        <v>26</v>
      </c>
      <c r="B52" t="str">
        <f t="shared" si="0"/>
        <v>vehicle</v>
      </c>
      <c r="C52" t="str">
        <f t="shared" si="3"/>
        <v>Vehicle</v>
      </c>
      <c r="D52" t="str">
        <f t="shared" si="5"/>
        <v>vehicle</v>
      </c>
      <c r="E52">
        <v>2023</v>
      </c>
      <c r="F52" s="1" t="str">
        <f t="shared" si="2"/>
        <v>vehicle</v>
      </c>
      <c r="G52" t="s">
        <v>7</v>
      </c>
      <c r="H52" t="s">
        <v>11</v>
      </c>
      <c r="I52" t="s">
        <v>23</v>
      </c>
      <c r="J52" t="s">
        <v>28</v>
      </c>
      <c r="K52" t="s">
        <v>29</v>
      </c>
      <c r="L52" t="str">
        <f>CONCATENATE(G52,E52,H52,E52,I52,H52,E52,I52,J52,A52,K52)</f>
        <v>Raw Data/2023/FARS2023NationalCSV/FARS2023NationalCSV/VEHICLE.CSV</v>
      </c>
      <c r="M52" t="str">
        <f>CONCATENATE(G52,E52,H52,E52,I52,H52,E52,I52,J52,B52,K52)</f>
        <v>Raw Data/2023/FARS2023NationalCSV/FARS2023NationalCSV/vehicle.CSV</v>
      </c>
      <c r="N52" t="str">
        <f>CONCATENATE(G53,E53,H53,E53,I53,H53,E53,I53,J53,C53,K53)</f>
        <v/>
      </c>
      <c r="O52" t="str">
        <f>CONCATENATE(H52,G52,I52,G52,J52,I52,G52,J52,K52,D52,L52)</f>
        <v>/FARSRaw Data/NationalCSVRaw Data//NationalCSVRaw Data//.CSVvehicleRaw Data/2023/FARS2023NationalCSV/FARS2023NationalCSV/VEHICLE.CSV</v>
      </c>
      <c r="P52" t="str">
        <f>IF(E52&lt;=2014,L52,M52)</f>
        <v>Raw Data/2023/FARS2023NationalCSV/FARS2023NationalCSV/vehicle.CSV</v>
      </c>
      <c r="Q52" t="str">
        <f>CONCATENATE(LOWER(A52),E52," &lt;- ","read.csv(",CHAR(34),P52,CHAR(34),")")</f>
        <v>vehicle2023 &lt;- read.csv("Raw Data/2023/FARS2023NationalCSV/FARS2023NationalCSV/vehicle.CSV")</v>
      </c>
      <c r="R52" t="str">
        <f>CONCATENATE(LOWER(A52),E52)</f>
        <v>vehicle2023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AUX</vt:lpstr>
      <vt:lpstr>National</vt:lpstr>
    </vt:vector>
  </TitlesOfParts>
  <Company>University of Minnesota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Torralba</dc:creator>
  <cp:lastModifiedBy>Patrick Torralba</cp:lastModifiedBy>
  <dcterms:created xsi:type="dcterms:W3CDTF">2026-05-04T20:42:37Z</dcterms:created>
  <dcterms:modified xsi:type="dcterms:W3CDTF">2026-05-05T15:50:51Z</dcterms:modified>
</cp:coreProperties>
</file>